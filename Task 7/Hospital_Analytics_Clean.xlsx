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bout" sheetId="1" state="visible" r:id="rId3"/>
    <sheet name="KPIs" sheetId="2" state="visible" r:id="rId4"/>
    <sheet name="Summary Tables" sheetId="3" state="visible" r:id="rId5"/>
    <sheet name="Severity x Dx" sheetId="4" state="visible" r:id="rId6"/>
    <sheet name="Clean Data" sheetId="5" state="visible" r:id="rId7"/>
    <sheet name="Daily Census" sheetId="6" state="visible" r:id="rId8"/>
    <sheet name="Cleaning Log" sheetId="7" state="visible" r:id="rId9"/>
    <sheet name="Data Dictionary" sheetId="8" state="visible" r:id="rId10"/>
    <sheet name="Raw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<sst xmlns="http://schemas.openxmlformats.org/spreadsheetml/2006/main" count="6773" uniqueCount="686">
  <si>
    <t xml:space="preserve">Hospital Analytics 2023 - cleaned data &amp; measures</t>
  </si>
  <si>
    <t xml:space="preserve">VOLTIX Data Analyst track - Task 7</t>
  </si>
  <si>
    <t xml:space="preserve">Sheet</t>
  </si>
  <si>
    <t xml:space="preserve">Contents</t>
  </si>
  <si>
    <t xml:space="preserve">KPIs</t>
  </si>
  <si>
    <t xml:space="preserve">19 headline measures (volume, efficiency, acuity, finance, data quality) - each with formula logic and purpose.</t>
  </si>
  <si>
    <t xml:space="preserve">Summary Tables</t>
  </si>
  <si>
    <t xml:space="preserve">Admissions, ALOS, bed-days, long-stay, severity, uninsured and billing measures by 10 dimensions.</t>
  </si>
  <si>
    <t xml:space="preserve">Severity x Dx</t>
  </si>
  <si>
    <t xml:space="preserve">Severity mix per diagnosis - shows the severity field does not line up with diagnosis or stay length.</t>
  </si>
  <si>
    <t xml:space="preserve">Daily Census</t>
  </si>
  <si>
    <t xml:space="preserve">Patients in a bed each night of 2023 - capacity view behind Avg / Peak census.</t>
  </si>
  <si>
    <t xml:space="preserve">Clean Data</t>
  </si>
  <si>
    <t xml:space="preserve">247 cleaned admissions (Excel Table 'tblPatients') with 34 columns incl. calculated columns.</t>
  </si>
  <si>
    <t xml:space="preserve">Cleaning Log</t>
  </si>
  <si>
    <t xml:space="preserve">Every check, rows affected and action taken (duplicates, reversed dates, placeholder bills...).</t>
  </si>
  <si>
    <t xml:space="preserve">Data Dictionary</t>
  </si>
  <si>
    <t xml:space="preserve">Meaning and origin of every column.</t>
  </si>
  <si>
    <t xml:space="preserve">Raw Data</t>
  </si>
  <si>
    <t xml:space="preserve">The original sheet, unchanged, for audit.</t>
  </si>
  <si>
    <t xml:space="preserve">Key cleaning decisions</t>
  </si>
  <si>
    <t xml:space="preserve">- 1 exact duplicate removed; 29 reversed admission/discharge dates swapped (flagged in Date_Corrected).</t>
  </si>
  <si>
    <t xml:space="preserve">- Bills of 999 (x100) and 3852 (x95) are system placeholders: identical across every diagnosis, severity and stay length,</t>
  </si>
  <si>
    <t xml:space="preserve">  while the 52 genuine bills rise with stay length (r = 0.64). They are blanked, not imputed; Bill_Raw keeps the original.</t>
  </si>
  <si>
    <t xml:space="preserve">- Unusual but possible values are flagged, not deleted (long stays for minor conditions, atypical ages).</t>
  </si>
  <si>
    <t xml:space="preserve">Full dashboard: Hospital_Dashboard.html. Insights: KEY_INSIGHTS.md.</t>
  </si>
  <si>
    <t xml:space="preserve">Hospital performance - KPIs &amp; measures</t>
  </si>
  <si>
    <t xml:space="preserve">Every value is a live formula over the 'Clean Data' sheet (247 admissions, 2023). Edit the data and they update.</t>
  </si>
  <si>
    <t xml:space="preserve">Area</t>
  </si>
  <si>
    <t xml:space="preserve">KPI / measure</t>
  </si>
  <si>
    <t xml:space="preserve">Value</t>
  </si>
  <si>
    <t xml:space="preserve">How it is calculated</t>
  </si>
  <si>
    <t xml:space="preserve">Why it matters (question it answers)</t>
  </si>
  <si>
    <t xml:space="preserve">Volume</t>
  </si>
  <si>
    <t xml:space="preserve">Total admissions</t>
  </si>
  <si>
    <t xml:space="preserve">Count of admission records after removing the duplicate</t>
  </si>
  <si>
    <t xml:space="preserve">How much demand does the hospital serve?</t>
  </si>
  <si>
    <t xml:space="preserve">Admissions per doctor</t>
  </si>
  <si>
    <t xml:space="preserve">Admissions / number of distinct doctors</t>
  </si>
  <si>
    <t xml:space="preserve">Is the workload spread evenly across the 7 doctors?</t>
  </si>
  <si>
    <t xml:space="preserve">Average daily census</t>
  </si>
  <si>
    <t xml:space="preserve">Occupied bed-nights inside 2023 / 365</t>
  </si>
  <si>
    <t xml:space="preserve">How many beds are needed on a normal day?</t>
  </si>
  <si>
    <t xml:space="preserve">Peak daily census</t>
  </si>
  <si>
    <t xml:space="preserve">Highest value on the Daily Census sheet</t>
  </si>
  <si>
    <t xml:space="preserve">Capacity needed on the busiest night - size beds and staff for this.</t>
  </si>
  <si>
    <t xml:space="preserve">Efficiency</t>
  </si>
  <si>
    <t xml:space="preserve">Average length of stay (ALOS, days)</t>
  </si>
  <si>
    <t xml:space="preserve">Mean of Discharge - Admission</t>
  </si>
  <si>
    <t xml:space="preserve">Core efficiency measure: lower ALOS frees beds.</t>
  </si>
  <si>
    <t xml:space="preserve">Median length of stay (days)</t>
  </si>
  <si>
    <t xml:space="preserve">Middle stay length</t>
  </si>
  <si>
    <t xml:space="preserve">Typical patient - the gap to ALOS shows how much long stays pull the average.</t>
  </si>
  <si>
    <t xml:space="preserve">Total bed-days</t>
  </si>
  <si>
    <t xml:space="preserve">Sum of all stay lengths</t>
  </si>
  <si>
    <t xml:space="preserve">Total bed capacity consumed.</t>
  </si>
  <si>
    <t xml:space="preserve">Long-stay rate (&gt; 7 days)</t>
  </si>
  <si>
    <t xml:space="preserve">Share of admissions with stay &gt; 7 days</t>
  </si>
  <si>
    <t xml:space="preserve">How many patients become bed-blockers?</t>
  </si>
  <si>
    <t xml:space="preserve">Bed-days used by 15+ day stays</t>
  </si>
  <si>
    <t xml:space="preserve">Bed-days of stays &gt;= 15 days / all bed-days</t>
  </si>
  <si>
    <t xml:space="preserve">How much capacity a small group of very long stays absorbs.</t>
  </si>
  <si>
    <t xml:space="preserve">Acuity</t>
  </si>
  <si>
    <t xml:space="preserve">High-severity share</t>
  </si>
  <si>
    <t xml:space="preserve">Admissions marked High severity / all</t>
  </si>
  <si>
    <t xml:space="preserve">How acute is the case mix?</t>
  </si>
  <si>
    <t xml:space="preserve">Senior patients share (60+)</t>
  </si>
  <si>
    <t xml:space="preserve">Admissions aged 60+ / all</t>
  </si>
  <si>
    <t xml:space="preserve">Older patients stay longer - drives geriatric resource planning.</t>
  </si>
  <si>
    <t xml:space="preserve">Average patient age</t>
  </si>
  <si>
    <t xml:space="preserve">Mean age</t>
  </si>
  <si>
    <t xml:space="preserve">Who the hospital mainly serves.</t>
  </si>
  <si>
    <t xml:space="preserve">Finance</t>
  </si>
  <si>
    <t xml:space="preserve">Uninsured rate</t>
  </si>
  <si>
    <t xml:space="preserve">Admissions with no insurance / all</t>
  </si>
  <si>
    <t xml:space="preserve">Share of revenue exposed to non-payment.</t>
  </si>
  <si>
    <t xml:space="preserve">Billing completeness</t>
  </si>
  <si>
    <t xml:space="preserve">Admissions with a genuine bill / all (999 &amp; 3852 placeholders excluded)</t>
  </si>
  <si>
    <t xml:space="preserve">Can revenue be reported at all? (target: 100%)</t>
  </si>
  <si>
    <t xml:space="preserve">Average recorded bill</t>
  </si>
  <si>
    <t xml:space="preserve">Mean of genuine bills only</t>
  </si>
  <si>
    <t xml:space="preserve">Typical charge per admission (indicative - short stays only).</t>
  </si>
  <si>
    <t xml:space="preserve">Median bill per bed-day</t>
  </si>
  <si>
    <t xml:space="preserve">Median of Bill / Length_of_Stay on genuine bills</t>
  </si>
  <si>
    <t xml:space="preserve">Unit price of a bed-day - use to estimate lost revenue.</t>
  </si>
  <si>
    <t xml:space="preserve">Total recorded billing</t>
  </si>
  <si>
    <t xml:space="preserve">Sum of genuine bills</t>
  </si>
  <si>
    <t xml:space="preserve">Revenue that is actually documented.</t>
  </si>
  <si>
    <t xml:space="preserve">Data quality</t>
  </si>
  <si>
    <t xml:space="preserve">Date-correction rate</t>
  </si>
  <si>
    <t xml:space="preserve">Rows whose admission/discharge dates were reversed</t>
  </si>
  <si>
    <t xml:space="preserve">Reliability of the admission system's date entry.</t>
  </si>
  <si>
    <t xml:space="preserve">Records flagged for clinical review</t>
  </si>
  <si>
    <t xml:space="preserve">Long stay for a minor condition, or atypical age for diagnosis</t>
  </si>
  <si>
    <t xml:space="preserve">Coding / care-pathway audit workload.</t>
  </si>
  <si>
    <t xml:space="preserve">Note: 195 of 247 bills held the placeholder values 999 or 3852 (see Cleaning Log). They are excluded, so every finance KPI describes the 52 genuine bills - almost all short stays - and understates the true average charge.</t>
  </si>
  <si>
    <t xml:space="preserve">Summary tables</t>
  </si>
  <si>
    <t xml:space="preserve">COUNTIFS / AVERAGEIFS / SUMIFS measures over the Clean Data sheet - one block per dimension.</t>
  </si>
  <si>
    <t xml:space="preserve">By diagnosis</t>
  </si>
  <si>
    <t xml:space="preserve">Diagnosis</t>
  </si>
  <si>
    <t xml:space="preserve">Admissions</t>
  </si>
  <si>
    <t xml:space="preserve">% of admissions</t>
  </si>
  <si>
    <t xml:space="preserve">ALOS (days)</t>
  </si>
  <si>
    <t xml:space="preserve">Bed-days</t>
  </si>
  <si>
    <t xml:space="preserve">% of bed-days</t>
  </si>
  <si>
    <t xml:space="preserve">Long-stay rate</t>
  </si>
  <si>
    <t xml:space="preserve">Genuine bills</t>
  </si>
  <si>
    <t xml:space="preserve">Avg genuine bill</t>
  </si>
  <si>
    <t xml:space="preserve">Clinical review flags</t>
  </si>
  <si>
    <t xml:space="preserve">Influenza</t>
  </si>
  <si>
    <t xml:space="preserve">Fractures</t>
  </si>
  <si>
    <t xml:space="preserve">Chronic Allergy</t>
  </si>
  <si>
    <t xml:space="preserve">Common Cold</t>
  </si>
  <si>
    <t xml:space="preserve">Diabetes</t>
  </si>
  <si>
    <t xml:space="preserve">Hypertension</t>
  </si>
  <si>
    <t xml:space="preserve">Kidney Failure</t>
  </si>
  <si>
    <t xml:space="preserve">Migraine</t>
  </si>
  <si>
    <t xml:space="preserve">Stroke</t>
  </si>
  <si>
    <t xml:space="preserve">Pneumonia</t>
  </si>
  <si>
    <t xml:space="preserve">Total</t>
  </si>
  <si>
    <t xml:space="preserve">By diagnosis group</t>
  </si>
  <si>
    <t xml:space="preserve">Diagnosis group</t>
  </si>
  <si>
    <t xml:space="preserve">Chronic disease</t>
  </si>
  <si>
    <t xml:space="preserve">Respiratory infection</t>
  </si>
  <si>
    <t xml:space="preserve">Trauma</t>
  </si>
  <si>
    <t xml:space="preserve">Neurological</t>
  </si>
  <si>
    <t xml:space="preserve">By doctor</t>
  </si>
  <si>
    <t xml:space="preserve">Doctor</t>
  </si>
  <si>
    <t xml:space="preserve">Dr. Reem Abdullah</t>
  </si>
  <si>
    <t xml:space="preserve">Dr. Mohamed Hassan</t>
  </si>
  <si>
    <t xml:space="preserve">Dr. Ahmed Ali</t>
  </si>
  <si>
    <t xml:space="preserve">Dr. Yasmin Mahmoud</t>
  </si>
  <si>
    <t xml:space="preserve">Dr. Khaled Sami</t>
  </si>
  <si>
    <t xml:space="preserve">Dr. Nour Khaled</t>
  </si>
  <si>
    <t xml:space="preserve">Dr. Sara Ibrahim</t>
  </si>
  <si>
    <t xml:space="preserve">By insurance</t>
  </si>
  <si>
    <t xml:space="preserve">Insurance</t>
  </si>
  <si>
    <t xml:space="preserve">Private</t>
  </si>
  <si>
    <t xml:space="preserve">Government</t>
  </si>
  <si>
    <t xml:space="preserve">Uninsured</t>
  </si>
  <si>
    <t xml:space="preserve">By severity</t>
  </si>
  <si>
    <t xml:space="preserve">Severity</t>
  </si>
  <si>
    <t xml:space="preserve">Low</t>
  </si>
  <si>
    <t xml:space="preserve">Medium</t>
  </si>
  <si>
    <t xml:space="preserve">High</t>
  </si>
  <si>
    <t xml:space="preserve">By age group</t>
  </si>
  <si>
    <t xml:space="preserve">Age group</t>
  </si>
  <si>
    <t xml:space="preserve">Child (0-17)</t>
  </si>
  <si>
    <t xml:space="preserve">Adult (18-39)</t>
  </si>
  <si>
    <t xml:space="preserve">Middle age (40-59)</t>
  </si>
  <si>
    <t xml:space="preserve">Senior (60+)</t>
  </si>
  <si>
    <t xml:space="preserve">By gender (see caveat in cleaning log)</t>
  </si>
  <si>
    <t xml:space="preserve">Gender (see caveat in Cleaning Log)</t>
  </si>
  <si>
    <t xml:space="preserve">Female</t>
  </si>
  <si>
    <t xml:space="preserve">Male</t>
  </si>
  <si>
    <t xml:space="preserve">By admission month</t>
  </si>
  <si>
    <t xml:space="preserve">Admission 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</si>
  <si>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</si>
  <si>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</si>
  <si>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</si>
  <si>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</si>
  <si>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</si>
  <si>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</si>
  <si>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</si>
  <si>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</si>
  <si>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</si>
  <si>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</si>
  <si>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</si>
  <si>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</si>
  <si>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By admission weekday</t>
  </si>
  <si>
    <t xml:space="preserve">Admission weekday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</si>
  <si>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</si>
  <si>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</si>
  <si>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</si>
  <si>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</si>
  <si>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</si>
  <si>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</si>
  <si>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</si>
  <si>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By stay band</t>
  </si>
  <si>
    <t xml:space="preserve">Stay band</t>
  </si>
  <si>
    <t xml:space="preserve">1-3 days</t>
  </si>
  <si>
    <t xml:space="preserve">4-7 days</t>
  </si>
  <si>
    <t xml:space="preserve">8-14 days</t>
  </si>
  <si>
    <t xml:space="preserve">15+ days</t>
  </si>
  <si>
    <t xml:space="preserve">Severity mix by diagnosis</t>
  </si>
  <si>
    <t xml:space="preserve">Row % of each diagnosis by recorded severity. Watch for mismatches: stroke mostly 'Low', common cold mostly 'High'.</t>
  </si>
  <si>
    <t xml:space="preserve">Low (n)</t>
  </si>
  <si>
    <t xml:space="preserve">Medium (n)</t>
  </si>
  <si>
    <t xml:space="preserve">High (n)</t>
  </si>
  <si>
    <t xml:space="preserve">Low %</t>
  </si>
  <si>
    <t xml:space="preserve">Medium %</t>
  </si>
  <si>
    <t xml:space="preserve">High %</t>
  </si>
  <si>
    <t xml:space="preserve">Patient_ID</t>
  </si>
  <si>
    <t xml:space="preserve">Patient_Name</t>
  </si>
  <si>
    <t xml:space="preserve">Age</t>
  </si>
  <si>
    <t xml:space="preserve">Age_Group</t>
  </si>
  <si>
    <t xml:space="preserve">Gender</t>
  </si>
  <si>
    <t xml:space="preserve">Gender_AR</t>
  </si>
  <si>
    <t xml:space="preserve">Diagnosis_AR</t>
  </si>
  <si>
    <t xml:space="preserve">Diagnosis_Group</t>
  </si>
  <si>
    <t xml:space="preserve">Doctor_AR</t>
  </si>
  <si>
    <t xml:space="preserve">Admission_Date</t>
  </si>
  <si>
    <t xml:space="preserve">Discharge_Date</t>
  </si>
  <si>
    <t xml:space="preserve">Length_of_Stay</t>
  </si>
  <si>
    <t xml:space="preserve">Stay_Band</t>
  </si>
  <si>
    <t xml:space="preserve">Long_Stay</t>
  </si>
  <si>
    <t xml:space="preserve">LOS_Outlier</t>
  </si>
  <si>
    <t xml:space="preserve">Admission_Month</t>
  </si>
  <si>
    <t xml:space="preserve">Admission_Month_Name</t>
  </si>
  <si>
    <t xml:space="preserve">Admission_Quarter</t>
  </si>
  <si>
    <t xml:space="preserve">Admission_Weekday</t>
  </si>
  <si>
    <t xml:space="preserve">Is_Weekend</t>
  </si>
  <si>
    <t xml:space="preserve">Insurance_AR</t>
  </si>
  <si>
    <t xml:space="preserve">Is_Uninsured</t>
  </si>
  <si>
    <t xml:space="preserve">Severity_AR</t>
  </si>
  <si>
    <t xml:space="preserve">High_Severity</t>
  </si>
  <si>
    <t xml:space="preserve">Bill</t>
  </si>
  <si>
    <t xml:space="preserve">Bill_Raw</t>
  </si>
  <si>
    <t xml:space="preserve">Bill_Status</t>
  </si>
  <si>
    <t xml:space="preserve">Bill_Per_Day</t>
  </si>
  <si>
    <t xml:space="preserve">Date_Corrected</t>
  </si>
  <si>
    <t xml:space="preserve">Review_Flag</t>
  </si>
  <si>
    <t xml:space="preserve">P0001</t>
  </si>
  <si>
    <t xml:space="preserve">ندى حسن</t>
  </si>
  <si>
    <t xml:space="preserve">أنثى</t>
  </si>
  <si>
    <t xml:space="preserve">فشل كلوي</t>
  </si>
  <si>
    <t xml:space="preserve">د. ريم عبد الله</t>
  </si>
  <si>
    <t xml:space="preserve">Q3</t>
  </si>
  <si>
    <t xml:space="preserve">بدون تأمين</t>
  </si>
  <si>
    <t xml:space="preserve">مرتفع</t>
  </si>
  <si>
    <t xml:space="preserve">Placeholder 3852</t>
  </si>
  <si>
    <t xml:space="preserve">P0002</t>
  </si>
  <si>
    <t xml:space="preserve">ياسمين محمود</t>
  </si>
  <si>
    <t xml:space="preserve">ذكر</t>
  </si>
  <si>
    <t xml:space="preserve">Q1</t>
  </si>
  <si>
    <t xml:space="preserve">تأمين خاص</t>
  </si>
  <si>
    <t xml:space="preserve">متوسط</t>
  </si>
  <si>
    <t xml:space="preserve">P0003</t>
  </si>
  <si>
    <t xml:space="preserve">يوسف عبد الله</t>
  </si>
  <si>
    <t xml:space="preserve">أنفلونزا</t>
  </si>
  <si>
    <t xml:space="preserve">د. سارة إبراهيم</t>
  </si>
  <si>
    <t xml:space="preserve">Q4</t>
  </si>
  <si>
    <t xml:space="preserve">Recorded</t>
  </si>
  <si>
    <t xml:space="preserve">P0004</t>
  </si>
  <si>
    <t xml:space="preserve">ياسمين عبد الله</t>
  </si>
  <si>
    <t xml:space="preserve">د. أحمد علي</t>
  </si>
  <si>
    <t xml:space="preserve">Q2</t>
  </si>
  <si>
    <t xml:space="preserve">P0005</t>
  </si>
  <si>
    <t xml:space="preserve">مريم عبد الله</t>
  </si>
  <si>
    <t xml:space="preserve">د. خالد سامي</t>
  </si>
  <si>
    <t xml:space="preserve">تأمين حكومي</t>
  </si>
  <si>
    <t xml:space="preserve">P0006</t>
  </si>
  <si>
    <t xml:space="preserve">يوسف محمود</t>
  </si>
  <si>
    <t xml:space="preserve">P0007</t>
  </si>
  <si>
    <t xml:space="preserve">علي يوسف</t>
  </si>
  <si>
    <t xml:space="preserve">د. نور خالد</t>
  </si>
  <si>
    <t xml:space="preserve">منخفض</t>
  </si>
  <si>
    <t xml:space="preserve">Placeholder 999</t>
  </si>
  <si>
    <t xml:space="preserve">P0008</t>
  </si>
  <si>
    <t xml:space="preserve">إبراهيم يوسف</t>
  </si>
  <si>
    <t xml:space="preserve">د. محمد حسن</t>
  </si>
  <si>
    <t xml:space="preserve">P0009</t>
  </si>
  <si>
    <t xml:space="preserve">علي حسن</t>
  </si>
  <si>
    <t xml:space="preserve">د. ياسمين محمود</t>
  </si>
  <si>
    <t xml:space="preserve">P0010</t>
  </si>
  <si>
    <t xml:space="preserve">P0011</t>
  </si>
  <si>
    <t xml:space="preserve">مريم السيد</t>
  </si>
  <si>
    <t xml:space="preserve">P0012</t>
  </si>
  <si>
    <t xml:space="preserve">محمود خالد</t>
  </si>
  <si>
    <t xml:space="preserve">P0013</t>
  </si>
  <si>
    <t xml:space="preserve">أحمد علي</t>
  </si>
  <si>
    <t xml:space="preserve">P0014</t>
  </si>
  <si>
    <t xml:space="preserve">ياسمين السيد</t>
  </si>
  <si>
    <t xml:space="preserve">P0015</t>
  </si>
  <si>
    <t xml:space="preserve">علي محمود</t>
  </si>
  <si>
    <t xml:space="preserve">حساسية مزمنة</t>
  </si>
  <si>
    <t xml:space="preserve">P0016</t>
  </si>
  <si>
    <t xml:space="preserve">محمود محمود</t>
  </si>
  <si>
    <t xml:space="preserve">P0017</t>
  </si>
  <si>
    <t xml:space="preserve">P0018</t>
  </si>
  <si>
    <t xml:space="preserve">مريم يوسف</t>
  </si>
  <si>
    <t xml:space="preserve">P0019</t>
  </si>
  <si>
    <t xml:space="preserve">علي السيد</t>
  </si>
  <si>
    <t xml:space="preserve">Long stay for minor condition</t>
  </si>
  <si>
    <t xml:space="preserve">P0020</t>
  </si>
  <si>
    <t xml:space="preserve">علي خالد</t>
  </si>
  <si>
    <t xml:space="preserve">P0021</t>
  </si>
  <si>
    <t xml:space="preserve">محمود يوسف</t>
  </si>
  <si>
    <t xml:space="preserve">P0022</t>
  </si>
  <si>
    <t xml:space="preserve">يوسف السيد</t>
  </si>
  <si>
    <t xml:space="preserve">P0023</t>
  </si>
  <si>
    <t xml:space="preserve">محمد يوسف</t>
  </si>
  <si>
    <t xml:space="preserve">P0024</t>
  </si>
  <si>
    <t xml:space="preserve">محمود عبد الله</t>
  </si>
  <si>
    <t xml:space="preserve">P0025</t>
  </si>
  <si>
    <t xml:space="preserve">P0026</t>
  </si>
  <si>
    <t xml:space="preserve">سارة خالد</t>
  </si>
  <si>
    <t xml:space="preserve">P0027</t>
  </si>
  <si>
    <t xml:space="preserve">ياسمين علي</t>
  </si>
  <si>
    <t xml:space="preserve">P0028</t>
  </si>
  <si>
    <t xml:space="preserve">إبراهيم خالد</t>
  </si>
  <si>
    <t xml:space="preserve">P0029</t>
  </si>
  <si>
    <t xml:space="preserve">P0030</t>
  </si>
  <si>
    <t xml:space="preserve">ندى إبراهيم</t>
  </si>
  <si>
    <t xml:space="preserve">P0031</t>
  </si>
  <si>
    <t xml:space="preserve">P0032</t>
  </si>
  <si>
    <t xml:space="preserve">P0033</t>
  </si>
  <si>
    <t xml:space="preserve">محمود إبراهيم</t>
  </si>
  <si>
    <t xml:space="preserve">P0034</t>
  </si>
  <si>
    <t xml:space="preserve">P0035</t>
  </si>
  <si>
    <t xml:space="preserve">إبراهيم علي</t>
  </si>
  <si>
    <t xml:space="preserve">P0036</t>
  </si>
  <si>
    <t xml:space="preserve">أحمد خالد</t>
  </si>
  <si>
    <t xml:space="preserve">P0037</t>
  </si>
  <si>
    <t xml:space="preserve">P0038</t>
  </si>
  <si>
    <t xml:space="preserve">سارة محمود</t>
  </si>
  <si>
    <t xml:space="preserve">P0039</t>
  </si>
  <si>
    <t xml:space="preserve">مريم إبراهيم</t>
  </si>
  <si>
    <t xml:space="preserve">P0040</t>
  </si>
  <si>
    <t xml:space="preserve">ندى علي</t>
  </si>
  <si>
    <t xml:space="preserve">P0041</t>
  </si>
  <si>
    <t xml:space="preserve">إبراهيم محمود</t>
  </si>
  <si>
    <t xml:space="preserve">P0042</t>
  </si>
  <si>
    <t xml:space="preserve">سارة يوسف</t>
  </si>
  <si>
    <t xml:space="preserve">P0043</t>
  </si>
  <si>
    <t xml:space="preserve">أحمد السيد</t>
  </si>
  <si>
    <t xml:space="preserve">P0044</t>
  </si>
  <si>
    <t xml:space="preserve">سارة عبد الله</t>
  </si>
  <si>
    <t xml:space="preserve">P0045</t>
  </si>
  <si>
    <t xml:space="preserve">يوسف علي</t>
  </si>
  <si>
    <t xml:space="preserve">نزلة برد</t>
  </si>
  <si>
    <t xml:space="preserve">P0046</t>
  </si>
  <si>
    <t xml:space="preserve">P0047</t>
  </si>
  <si>
    <t xml:space="preserve">P0048</t>
  </si>
  <si>
    <t xml:space="preserve">أحمد محمود</t>
  </si>
  <si>
    <t xml:space="preserve">P0049</t>
  </si>
  <si>
    <t xml:space="preserve">ياسمين حسن</t>
  </si>
  <si>
    <t xml:space="preserve">P0050</t>
  </si>
  <si>
    <t xml:space="preserve">ندى عبد الله</t>
  </si>
  <si>
    <t xml:space="preserve">P0051</t>
  </si>
  <si>
    <t xml:space="preserve">محمد عبد الله</t>
  </si>
  <si>
    <t xml:space="preserve">P0052</t>
  </si>
  <si>
    <t xml:space="preserve">P0053</t>
  </si>
  <si>
    <t xml:space="preserve">سارة إبراهيم</t>
  </si>
  <si>
    <t xml:space="preserve">P0054</t>
  </si>
  <si>
    <t xml:space="preserve">محمد خالد</t>
  </si>
  <si>
    <t xml:space="preserve">P0055</t>
  </si>
  <si>
    <t xml:space="preserve">P0056</t>
  </si>
  <si>
    <t xml:space="preserve">P0057</t>
  </si>
  <si>
    <t xml:space="preserve">P0058</t>
  </si>
  <si>
    <t xml:space="preserve">محمود حسن</t>
  </si>
  <si>
    <t xml:space="preserve">P0059</t>
  </si>
  <si>
    <t xml:space="preserve">مريم علي</t>
  </si>
  <si>
    <t xml:space="preserve">P0060</t>
  </si>
  <si>
    <t xml:space="preserve">ندى يوسف</t>
  </si>
  <si>
    <t xml:space="preserve">كسور</t>
  </si>
  <si>
    <t xml:space="preserve">P0061</t>
  </si>
  <si>
    <t xml:space="preserve">P0062</t>
  </si>
  <si>
    <t xml:space="preserve">علي علي</t>
  </si>
  <si>
    <t xml:space="preserve">P0063</t>
  </si>
  <si>
    <t xml:space="preserve">علي إبراهيم</t>
  </si>
  <si>
    <t xml:space="preserve">P0064</t>
  </si>
  <si>
    <t xml:space="preserve">ياسمين إبراهيم</t>
  </si>
  <si>
    <t xml:space="preserve">P0065</t>
  </si>
  <si>
    <t xml:space="preserve">P0066</t>
  </si>
  <si>
    <t xml:space="preserve">إبراهيم عبد الله</t>
  </si>
  <si>
    <t xml:space="preserve">P0067</t>
  </si>
  <si>
    <t xml:space="preserve">P0068</t>
  </si>
  <si>
    <t xml:space="preserve">مريم حسن</t>
  </si>
  <si>
    <t xml:space="preserve">P0069</t>
  </si>
  <si>
    <t xml:space="preserve">P0070</t>
  </si>
  <si>
    <t xml:space="preserve">P0071</t>
  </si>
  <si>
    <t xml:space="preserve">مريم خالد</t>
  </si>
  <si>
    <t xml:space="preserve">P0072</t>
  </si>
  <si>
    <t xml:space="preserve">P0073</t>
  </si>
  <si>
    <t xml:space="preserve">P0074</t>
  </si>
  <si>
    <t xml:space="preserve">P0075</t>
  </si>
  <si>
    <t xml:space="preserve">ندى خالد</t>
  </si>
  <si>
    <t xml:space="preserve">P0076</t>
  </si>
  <si>
    <t xml:space="preserve">أحمد إبراهيم</t>
  </si>
  <si>
    <t xml:space="preserve">P0077</t>
  </si>
  <si>
    <t xml:space="preserve">P0078</t>
  </si>
  <si>
    <t xml:space="preserve">ياسمين يوسف</t>
  </si>
  <si>
    <t xml:space="preserve">P0079</t>
  </si>
  <si>
    <t xml:space="preserve">محمد السيد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</si>
  <si>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</si>
  <si>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</si>
  <si>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</si>
  <si>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</si>
  <si>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</si>
  <si>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يوسف يوسف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</si>
  <si>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</si>
  <si>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</si>
  <si>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</si>
  <si>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</si>
  <si>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</si>
  <si>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</si>
  <si>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</si>
  <si>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أحمد يوسف</t>
  </si>
  <si>
    <t xml:space="preserve">P0092</t>
  </si>
  <si>
    <t xml:space="preserve">P0093</t>
  </si>
  <si>
    <t xml:space="preserve">P0094</t>
  </si>
  <si>
    <t xml:space="preserve">P0095</t>
  </si>
  <si>
    <t xml:space="preserve">ضغط مرتفع</t>
  </si>
  <si>
    <t xml:space="preserve">P0096</t>
  </si>
  <si>
    <t xml:space="preserve">P0097</t>
  </si>
  <si>
    <t xml:space="preserve">P0098</t>
  </si>
  <si>
    <t xml:space="preserve">P0099</t>
  </si>
  <si>
    <t xml:space="preserve">التهاب رئوي</t>
  </si>
  <si>
    <t xml:space="preserve">P0100</t>
  </si>
  <si>
    <t xml:space="preserve">جلطة</t>
  </si>
  <si>
    <t xml:space="preserve">P0101</t>
  </si>
  <si>
    <t xml:space="preserve">Atypical age for diagnosis</t>
  </si>
  <si>
    <t xml:space="preserve">P0102</t>
  </si>
  <si>
    <t xml:space="preserve">P0103</t>
  </si>
  <si>
    <t xml:space="preserve">P0104</t>
  </si>
  <si>
    <t xml:space="preserve">P0105</t>
  </si>
  <si>
    <t xml:space="preserve">P0106</t>
  </si>
  <si>
    <t xml:space="preserve">P0107</t>
  </si>
  <si>
    <t xml:space="preserve">P0108</t>
  </si>
  <si>
    <t xml:space="preserve">P0109</t>
  </si>
  <si>
    <t xml:space="preserve">سارة علي</t>
  </si>
  <si>
    <t xml:space="preserve">P0110</t>
  </si>
  <si>
    <t xml:space="preserve">P0111</t>
  </si>
  <si>
    <t xml:space="preserve">P0112</t>
  </si>
  <si>
    <t xml:space="preserve">P0113</t>
  </si>
  <si>
    <t xml:space="preserve">محمود السيد</t>
  </si>
  <si>
    <t xml:space="preserve">P0114</t>
  </si>
  <si>
    <t xml:space="preserve">P0115</t>
  </si>
  <si>
    <t xml:space="preserve">P0116</t>
  </si>
  <si>
    <t xml:space="preserve">P0117</t>
  </si>
  <si>
    <t xml:space="preserve">P0118</t>
  </si>
  <si>
    <t xml:space="preserve">P0119</t>
  </si>
  <si>
    <t xml:space="preserve">P0120</t>
  </si>
  <si>
    <t xml:space="preserve">P0121</t>
  </si>
  <si>
    <t xml:space="preserve">P0122</t>
  </si>
  <si>
    <t xml:space="preserve">P0123</t>
  </si>
  <si>
    <t xml:space="preserve">P0124</t>
  </si>
  <si>
    <t xml:space="preserve">P0125</t>
  </si>
  <si>
    <t xml:space="preserve">P0126</t>
  </si>
  <si>
    <t xml:space="preserve">P0127</t>
  </si>
  <si>
    <t xml:space="preserve">مريم محمود</t>
  </si>
  <si>
    <t xml:space="preserve">P0128</t>
  </si>
  <si>
    <t xml:space="preserve">P0129</t>
  </si>
  <si>
    <t xml:space="preserve">P0130</t>
  </si>
  <si>
    <t xml:space="preserve">P0131</t>
  </si>
  <si>
    <t xml:space="preserve">P0132</t>
  </si>
  <si>
    <t xml:space="preserve">يوسف إبراهيم</t>
  </si>
  <si>
    <t xml:space="preserve">P0133</t>
  </si>
  <si>
    <t xml:space="preserve">P0134</t>
  </si>
  <si>
    <t xml:space="preserve">P0135</t>
  </si>
  <si>
    <t xml:space="preserve">P0136</t>
  </si>
  <si>
    <t xml:space="preserve">P0137</t>
  </si>
  <si>
    <t xml:space="preserve">P0138</t>
  </si>
  <si>
    <t xml:space="preserve">سارة حسن</t>
  </si>
  <si>
    <t xml:space="preserve">P0139</t>
  </si>
  <si>
    <t xml:space="preserve">P0140</t>
  </si>
  <si>
    <t xml:space="preserve">صداع نصفي</t>
  </si>
  <si>
    <t xml:space="preserve">P0141</t>
  </si>
  <si>
    <t xml:space="preserve">P0142</t>
  </si>
  <si>
    <t xml:space="preserve">إبراهيم حسن</t>
  </si>
  <si>
    <t xml:space="preserve">P0143</t>
  </si>
  <si>
    <t xml:space="preserve">P0144</t>
  </si>
  <si>
    <t xml:space="preserve">P0145</t>
  </si>
  <si>
    <t xml:space="preserve">P0146</t>
  </si>
  <si>
    <t xml:space="preserve">أحمد عبد الله</t>
  </si>
  <si>
    <t xml:space="preserve">P0147</t>
  </si>
  <si>
    <t xml:space="preserve">محمد إبراهيم</t>
  </si>
  <si>
    <t xml:space="preserve">P0148</t>
  </si>
  <si>
    <t xml:space="preserve">P0149</t>
  </si>
  <si>
    <t xml:space="preserve">P0150</t>
  </si>
  <si>
    <t xml:space="preserve">ندى السيد</t>
  </si>
  <si>
    <t xml:space="preserve">P0151</t>
  </si>
  <si>
    <t xml:space="preserve">P0152</t>
  </si>
  <si>
    <t xml:space="preserve">P0153</t>
  </si>
  <si>
    <t xml:space="preserve">علي عبد الله</t>
  </si>
  <si>
    <t xml:space="preserve">P0154</t>
  </si>
  <si>
    <t xml:space="preserve">سكري</t>
  </si>
  <si>
    <t xml:space="preserve">P0155</t>
  </si>
  <si>
    <t xml:space="preserve">P0156</t>
  </si>
  <si>
    <t xml:space="preserve">P0157</t>
  </si>
  <si>
    <t xml:space="preserve">P0158</t>
  </si>
  <si>
    <t xml:space="preserve">P0159</t>
  </si>
  <si>
    <t xml:space="preserve">محمد حسن</t>
  </si>
  <si>
    <t xml:space="preserve">P0160</t>
  </si>
  <si>
    <t xml:space="preserve">P0161</t>
  </si>
  <si>
    <t xml:space="preserve">P0162</t>
  </si>
  <si>
    <t xml:space="preserve">P0163</t>
  </si>
  <si>
    <t xml:space="preserve">P0164</t>
  </si>
  <si>
    <t xml:space="preserve">P0165</t>
  </si>
  <si>
    <t xml:space="preserve">P0166</t>
  </si>
  <si>
    <t xml:space="preserve">P0167</t>
  </si>
  <si>
    <t xml:space="preserve">P0168</t>
  </si>
  <si>
    <t xml:space="preserve">أحمد حسن</t>
  </si>
  <si>
    <t xml:space="preserve">P0169</t>
  </si>
  <si>
    <t xml:space="preserve">P0170</t>
  </si>
  <si>
    <t xml:space="preserve">P0171</t>
  </si>
  <si>
    <t xml:space="preserve">إبراهيم إبراهيم</t>
  </si>
  <si>
    <t xml:space="preserve">P0172</t>
  </si>
  <si>
    <t xml:space="preserve">P0173</t>
  </si>
  <si>
    <t xml:space="preserve">P0174</t>
  </si>
  <si>
    <t xml:space="preserve">محمود علي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</si>
  <si>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</si>
  <si>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</si>
  <si>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</si>
  <si>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</si>
  <si>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</si>
  <si>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</si>
  <si>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</si>
  <si>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يوسف حسن</t>
  </si>
  <si>
    <t xml:space="preserve">P0182</t>
  </si>
  <si>
    <t xml:space="preserve">P0183</t>
  </si>
  <si>
    <t xml:space="preserve">P0184</t>
  </si>
  <si>
    <t xml:space="preserve">P0185</t>
  </si>
  <si>
    <t xml:space="preserve">P0186</t>
  </si>
  <si>
    <t xml:space="preserve">P0187</t>
  </si>
  <si>
    <t xml:space="preserve">P0188</t>
  </si>
  <si>
    <t xml:space="preserve">P0189</t>
  </si>
  <si>
    <t xml:space="preserve">P0190</t>
  </si>
  <si>
    <t xml:space="preserve">P0191</t>
  </si>
  <si>
    <t xml:space="preserve">P0192</t>
  </si>
  <si>
    <t xml:space="preserve">P0193</t>
  </si>
  <si>
    <t xml:space="preserve">P0194</t>
  </si>
  <si>
    <t xml:space="preserve">P0195</t>
  </si>
  <si>
    <t xml:space="preserve">P0196</t>
  </si>
  <si>
    <t xml:space="preserve">P0197</t>
  </si>
  <si>
    <t xml:space="preserve">P0198</t>
  </si>
  <si>
    <t xml:space="preserve">P0199</t>
  </si>
  <si>
    <t xml:space="preserve">P0200</t>
  </si>
  <si>
    <t xml:space="preserve">P0201</t>
  </si>
  <si>
    <t xml:space="preserve">P0202</t>
  </si>
  <si>
    <t xml:space="preserve">P0203</t>
  </si>
  <si>
    <t xml:space="preserve">P0204</t>
  </si>
  <si>
    <t xml:space="preserve">P0205</t>
  </si>
  <si>
    <t xml:space="preserve">P0206</t>
  </si>
  <si>
    <t xml:space="preserve">محمد محمود</t>
  </si>
  <si>
    <t xml:space="preserve">P0207</t>
  </si>
  <si>
    <t xml:space="preserve">P0208</t>
  </si>
  <si>
    <t xml:space="preserve">P0209</t>
  </si>
  <si>
    <t xml:space="preserve">P0210</t>
  </si>
  <si>
    <t xml:space="preserve">P0211</t>
  </si>
  <si>
    <t xml:space="preserve">P0212</t>
  </si>
  <si>
    <t xml:space="preserve">P0213</t>
  </si>
  <si>
    <t xml:space="preserve">P0214</t>
  </si>
  <si>
    <t xml:space="preserve">P0215</t>
  </si>
  <si>
    <t xml:space="preserve">P0216</t>
  </si>
  <si>
    <t xml:space="preserve">P0217</t>
  </si>
  <si>
    <t xml:space="preserve">P0218</t>
  </si>
  <si>
    <t xml:space="preserve">P0219</t>
  </si>
  <si>
    <t xml:space="preserve">P0220</t>
  </si>
  <si>
    <t xml:space="preserve">P0221</t>
  </si>
  <si>
    <t xml:space="preserve">P0222</t>
  </si>
  <si>
    <t xml:space="preserve">P0223</t>
  </si>
  <si>
    <t xml:space="preserve">P0224</t>
  </si>
  <si>
    <t xml:space="preserve">P0225</t>
  </si>
  <si>
    <t xml:space="preserve">ندى محمود</t>
  </si>
  <si>
    <t xml:space="preserve">P0226</t>
  </si>
  <si>
    <t xml:space="preserve">P0227</t>
  </si>
  <si>
    <t xml:space="preserve">P0228</t>
  </si>
  <si>
    <t xml:space="preserve">P0229</t>
  </si>
  <si>
    <t xml:space="preserve">P0230</t>
  </si>
  <si>
    <t xml:space="preserve">P0231</t>
  </si>
  <si>
    <t xml:space="preserve">P0232</t>
  </si>
  <si>
    <t xml:space="preserve">P0233</t>
  </si>
  <si>
    <t xml:space="preserve">P0234</t>
  </si>
  <si>
    <t xml:space="preserve">P0235</t>
  </si>
  <si>
    <t xml:space="preserve">P0236</t>
  </si>
  <si>
    <t xml:space="preserve">P0237</t>
  </si>
  <si>
    <t xml:space="preserve">P0238</t>
  </si>
  <si>
    <t xml:space="preserve">P0239</t>
  </si>
  <si>
    <t xml:space="preserve">P0240</t>
  </si>
  <si>
    <t xml:space="preserve">P0241</t>
  </si>
  <si>
    <t xml:space="preserve">P0242</t>
  </si>
  <si>
    <t xml:space="preserve">P0243</t>
  </si>
  <si>
    <t xml:space="preserve">P0244</t>
  </si>
  <si>
    <t xml:space="preserve">P0245</t>
  </si>
  <si>
    <t xml:space="preserve">P0246</t>
  </si>
  <si>
    <t xml:space="preserve">P0247</t>
  </si>
  <si>
    <t xml:space="preserve">Daily census</t>
  </si>
  <si>
    <t xml:space="preserve">Patients occupying a bed each night: admitted on/before the date and discharged after it.</t>
  </si>
  <si>
    <t xml:space="preserve">Date</t>
  </si>
  <si>
    <t xml:space="preserve">Patients in bed</t>
  </si>
  <si>
    <t xml:space="preserve">Admissions that day</t>
  </si>
  <si>
    <t xml:space="preserve">Discharges that day</t>
  </si>
  <si>
    <t xml:space="preserve">Cleaning log</t>
  </si>
  <si>
    <t xml:space="preserve">248 raw rows -&gt; 247 clean rows. Produced by clean_and_validate.py.</t>
  </si>
  <si>
    <t xml:space="preserve">#</t>
  </si>
  <si>
    <t xml:space="preserve">Check</t>
  </si>
  <si>
    <t xml:space="preserve">Rows affected</t>
  </si>
  <si>
    <t xml:space="preserve">Action taken</t>
  </si>
  <si>
    <t xml:space="preserve">Evidence / detail</t>
  </si>
  <si>
    <t xml:space="preserve">Missing values (all columns)</t>
  </si>
  <si>
    <t xml:space="preserve">none found - no imputation needed</t>
  </si>
  <si>
    <t xml:space="preserve">blank cells checked after type coercion; the real 'missing' data is hidden as placeholder bills (step 4)</t>
  </si>
  <si>
    <t xml:space="preserve">Exact duplicate rows</t>
  </si>
  <si>
    <t xml:space="preserve">removed (kept first occurrence)</t>
  </si>
  <si>
    <t xml:space="preserve">row 23: محمود يوسف, 2023-06-11</t>
  </si>
  <si>
    <t xml:space="preserve">Discharge date before admission date</t>
  </si>
  <si>
    <t xml:space="preserve">dates swapped + Date_Corrected flag</t>
  </si>
  <si>
    <t xml:space="preserve">gaps of 1-5 days, the same size as normal stays -&gt; a data-entry order error, not a real value</t>
  </si>
  <si>
    <t xml:space="preserve">Same-day admission/discharge</t>
  </si>
  <si>
    <t xml:space="preserve">none found</t>
  </si>
  <si>
    <t xml:space="preserve">Placeholder bill values (999, 3852)</t>
  </si>
  <si>
    <t xml:space="preserve">set to missing + Bill_Status flag (not imputed)</t>
  </si>
  <si>
    <t xml:space="preserve">999 x100 and 3852 x95 repeat across every diagnosis, severity and stay length; the other 52 bills are all distinct and rise with stay length (r = 0.64). Imputing 79% of bills from 21% would invent the financial picture, so finance KPIs use recorded bills only.</t>
  </si>
  <si>
    <t xml:space="preserve">Category spelling variants</t>
  </si>
  <si>
    <t xml:space="preserve">none found; Arabic labels mapped to English (Arabic kept in *_AR columns)</t>
  </si>
  <si>
    <t xml:space="preserve">Gender 2, Diagnosis 10, Doctor 7, Insurance 3, Severity 3 distinct values</t>
  </si>
  <si>
    <t xml:space="preserve">Age outside 0-110</t>
  </si>
  <si>
    <t xml:space="preserve">range 1-90</t>
  </si>
  <si>
    <t xml:space="preserve">Zero/negative recorded bills</t>
  </si>
  <si>
    <t xml:space="preserve">Admissions outside 2023</t>
  </si>
  <si>
    <t xml:space="preserve">kept - a New-Year stay (31 Dec 2022 -&gt; 3 Jan 2023) produced by the date swap</t>
  </si>
  <si>
    <t xml:space="preserve">admissions 2022-12-31 to 2023-12-28; the 12-month charts count it under December (1 of 247 rows)</t>
  </si>
  <si>
    <t xml:space="preserve">Length of stay above IQR fence (&gt; 17 days)</t>
  </si>
  <si>
    <t xml:space="preserve">kept + LOS_Outlier flag</t>
  </si>
  <si>
    <t xml:space="preserve">long stays are possible and drive bed capacity; removing them would understate workload</t>
  </si>
  <si>
    <t xml:space="preserve">Stay &gt; 14 days for a minor condition (cold, flu, migraine, allergy)</t>
  </si>
  <si>
    <t xml:space="preserve">kept + flagged in Review_Flag</t>
  </si>
  <si>
    <t xml:space="preserve">clinically unusual - worth a chart review / coding audit</t>
  </si>
  <si>
    <t xml:space="preserve">Atypical age for diagnosis (stroke &lt; 18, hypertension &lt; 12)</t>
  </si>
  <si>
    <t xml:space="preserve">rare but possible in children - cannot be proved wrong from this file</t>
  </si>
  <si>
    <t xml:space="preserve">Gender disagrees with first name</t>
  </si>
  <si>
    <t xml:space="preserve">reported, not changed</t>
  </si>
  <si>
    <t xml:space="preserve">53% of rows - near a coin toss, so the recorded gender cannot be trusted but also cannot be corrected reliably (which of name or gender is wrong is unknown). Gender charts carry this caveat.</t>
  </si>
  <si>
    <t xml:space="preserve">Repeated patient names with different ages</t>
  </si>
  <si>
    <t xml:space="preserve">Patient_ID created per admission; names treated as non-unique</t>
  </si>
  <si>
    <t xml:space="preserve">75 names across 247 admissions; same name appears with different ages/genders -&gt; different people, so readmission rate cannot be measured</t>
  </si>
  <si>
    <t xml:space="preserve">Data dictionary</t>
  </si>
  <si>
    <t xml:space="preserve">Column meaning, type and origin for the Clean Data sheet.</t>
  </si>
  <si>
    <t xml:space="preserve">Column</t>
  </si>
  <si>
    <t xml:space="preserve">Description</t>
  </si>
  <si>
    <t xml:space="preserve">Type</t>
  </si>
  <si>
    <t xml:space="preserve">Origin</t>
  </si>
  <si>
    <t xml:space="preserve">Unique admission key (P0001...) - names repeat across different people</t>
  </si>
  <si>
    <t xml:space="preserve">Text</t>
  </si>
  <si>
    <t xml:space="preserve">Calculated</t>
  </si>
  <si>
    <t xml:space="preserve">Patient name (Arabic, as recorded) - NOT unique</t>
  </si>
  <si>
    <t xml:space="preserve">Raw</t>
  </si>
  <si>
    <t xml:space="preserve">Age in years (1-90)</t>
  </si>
  <si>
    <t xml:space="preserve">Number</t>
  </si>
  <si>
    <t xml:space="preserve">Child 0-17 / Adult 18-39 / Middle age 40-59 / Senior 60+</t>
  </si>
  <si>
    <t xml:space="preserve">Male / Female (recorded; disagrees with first name in 53% of rows)</t>
  </si>
  <si>
    <t xml:space="preserve">Raw, translated</t>
  </si>
  <si>
    <t xml:space="preserve">Original Arabic gender label</t>
  </si>
  <si>
    <t xml:space="preserve">Diagnosis in English</t>
  </si>
  <si>
    <t xml:space="preserve">Original Arabic diagnosis</t>
  </si>
  <si>
    <t xml:space="preserve">Respiratory infection / Chronic disease / Trauma / Neurological</t>
  </si>
  <si>
    <t xml:space="preserve">Treating doctor (transliterated)</t>
  </si>
  <si>
    <t xml:space="preserve">Original Arabic doctor name</t>
  </si>
  <si>
    <t xml:space="preserve">Admission date (swapped with discharge where reversed)</t>
  </si>
  <si>
    <t xml:space="preserve">Raw, corrected</t>
  </si>
  <si>
    <t xml:space="preserve">Discharge date</t>
  </si>
  <si>
    <t xml:space="preserve">Discharge - Admission, days (1-30)</t>
  </si>
  <si>
    <t xml:space="preserve">1-3 / 4-7 / 8-14 / 15+ days</t>
  </si>
  <si>
    <t xml:space="preserve">TRUE when stay &gt; 7 days</t>
  </si>
  <si>
    <t xml:space="preserve">Boolean</t>
  </si>
  <si>
    <t xml:space="preserve">TRUE when stay &gt; 17 days (Q3 + 1.5 x IQR)</t>
  </si>
  <si>
    <t xml:space="preserve">Month number 1-12</t>
  </si>
  <si>
    <t xml:space="preserve">Jan...Dec</t>
  </si>
  <si>
    <t xml:space="preserve">Q1-Q4</t>
  </si>
  <si>
    <t xml:space="preserve">Day of week of admission</t>
  </si>
  <si>
    <t xml:space="preserve">TRUE for Friday/Saturday admissions (regional weekend)</t>
  </si>
  <si>
    <t xml:space="preserve">Private / Government / Uninsured</t>
  </si>
  <si>
    <t xml:space="preserve">Original Arabic insurance label</t>
  </si>
  <si>
    <t xml:space="preserve">TRUE when Insurance = Uninsured</t>
  </si>
  <si>
    <t xml:space="preserve">Low / Medium / High (ordered)</t>
  </si>
  <si>
    <t xml:space="preserve">Original Arabic severity label</t>
  </si>
  <si>
    <t xml:space="preserve">TRUE when Severity = High</t>
  </si>
  <si>
    <t xml:space="preserve">Genuine bill amount; blank where the raw value was a 999/3852 placeholder</t>
  </si>
  <si>
    <t xml:space="preserve">Cleaned</t>
  </si>
  <si>
    <t xml:space="preserve">Bill exactly as in the source file</t>
  </si>
  <si>
    <t xml:space="preserve">Recorded / Placeholder 999 / Placeholder 3852</t>
  </si>
  <si>
    <t xml:space="preserve">Bill / Length_of_Stay (genuine bills only)</t>
  </si>
  <si>
    <t xml:space="preserve">TRUE when admission/discharge dates were reversed and swapped</t>
  </si>
  <si>
    <t xml:space="preserve">'Long stay for minor condition' or 'Atypical age for diagnosis'</t>
  </si>
  <si>
    <t xml:space="preserve">اسم المريض</t>
  </si>
  <si>
    <t xml:space="preserve">العمر</t>
  </si>
  <si>
    <t xml:space="preserve">الجنس</t>
  </si>
  <si>
    <t xml:space="preserve">التشخيص</t>
  </si>
  <si>
    <t xml:space="preserve">الطبيب المعالج</t>
  </si>
  <si>
    <t xml:space="preserve">تاريخ الدخول</t>
  </si>
  <si>
    <t xml:space="preserve">تاريخ الخروج</t>
  </si>
  <si>
    <t xml:space="preserve">الفاتورة</t>
  </si>
  <si>
    <t xml:space="preserve">التأمين</t>
  </si>
  <si>
    <t xml:space="preserve">مستوى الخطورة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</si>
</sst>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.00"/>
    <numFmt numFmtId="168" formatCode="0.0%"/>
    <numFmt numFmtId="169" formatCode="0%"/>
    <numFmt numFmtId="170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3F9"/>
        <bgColor rgb="FFFFFFFF"/>
      </patternFill>
    </fill>
    <fill>
      <patternFill patternType="solid">
        <fgColor rgb="FFDCE6F2"/>
        <bgColor rgb="FFEEF3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08080"/>
      <rgbColor rgb="FF9999FF"/>
      <rgbColor rgb="FF993366"/>
      <rgbColor rgb="FFEEF3F9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atients" displayName="tblPatients" ref="A1:AH248" headerRowCount="1" totalsRowCount="0" totalsRowShown="0">
  <autoFilter ref="A1:AH248"/>
  <tableColumns count="34">
    <tableColumn id="1" name="Patient_ID"/>
    <tableColumn id="2" name="Patient_Name"/>
    <tableColumn id="3" name="Age"/>
    <tableColumn id="4" name="Age_Group"/>
    <tableColumn id="5" name="Gender"/>
    <tableColumn id="6" name="Gender_AR"/>
    <tableColumn id="7" name="Diagnosis"/>
    <tableColumn id="8" name="Diagnosis_AR"/>
    <tableColumn id="9" name="Diagnosis_Group"/>
    <tableColumn id="10" name="Doctor"/>
    <tableColumn id="11" name="Doctor_AR"/>
    <tableColumn id="12" name="Admission_Date"/>
    <tableColumn id="13" name="Discharge_Date"/>
    <tableColumn id="14" name="Length_of_Stay"/>
    <tableColumn id="15" name="Stay_Band"/>
    <tableColumn id="16" name="Long_Stay"/>
    <tableColumn id="17" name="LOS_Outlier"/>
    <tableColumn id="18" name="Admission_Month"/>
    <tableColumn id="19" name="Admission_Month_Name"/>
    <tableColumn id="20" name="Admission_Quarter"/>
    <tableColumn id="21" name="Admission_Weekday"/>
    <tableColumn id="22" name="Is_Weekend"/>
    <tableColumn id="23" name="Insurance"/>
    <tableColumn id="24" name="Insurance_AR"/>
    <tableColumn id="25" name="Is_Uninsured"/>
    <tableColumn id="26" name="Severity"/>
    <tableColumn id="27" name="Severity_AR"/>
    <tableColumn id="28" name="High_Severity"/>
    <tableColumn id="29" name="Bill"/>
    <tableColumn id="30" name="Bill_Raw"/>
    <tableColumn id="31" name="Bill_Status"/>
    <tableColumn id="32" name="Bill_Per_Day"/>
    <tableColumn id="33" name="Date_Corrected"/>
    <tableColumn id="34" name="Review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Desktop/VOLTIX/Task%207/Hospital_Analytics_Clean.xlsx" TargetMode="External"/><Relationship Id="rId2" Type="http://schemas.openxmlformats.org/officeDocument/2006/relationships/hyperlink" Target="../../../../Desktop/VOLTIX/Task%207/Hospital_Analytics_Clean.xlsx" TargetMode="External"/><Relationship Id="rId3" Type="http://schemas.openxmlformats.org/officeDocument/2006/relationships/hyperlink" Target="../../../../Desktop/VOLTIX/Task%207/Hospital_Analytics_Clean.xlsx" TargetMode="External"/><Relationship Id="rId4" Type="http://schemas.openxmlformats.org/officeDocument/2006/relationships/hyperlink" Target="../../../../Desktop/VOLTIX/Task%207/Hospital_Analytics_Clean.xlsx" TargetMode="External"/><Relationship Id="rId5" Type="http://schemas.openxmlformats.org/officeDocument/2006/relationships/hyperlink" Target="../../../../Desktop/VOLTIX/Task%207/Hospital_Analytics_Clean.xlsx" TargetMode="External"/><Relationship Id="rId6" Type="http://schemas.openxmlformats.org/officeDocument/2006/relationships/hyperlink" Target="../../../../Desktop/VOLTIX/Task%207/Hospital_Analytics_Clean.xlsx" TargetMode="External"/><Relationship Id="rId7" Type="http://schemas.openxmlformats.org/officeDocument/2006/relationships/hyperlink" Target="../../../../Desktop/VOLTIX/Task%207/Hospital_Analytics_Clean.xlsx" TargetMode="External"/><Relationship Id="rId8" Type="http://schemas.openxmlformats.org/officeDocument/2006/relationships/hyperlink" Target="../../../../Desktop/VOLTIX/Task%207/Hospital_Analytics_Clean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  <row r="12" customFormat="false" ht="15" hidden="false" customHeight="false" outlineLevel="0" collapsed="false">
      <c r="A12" s="5" t="s">
        <v>18</v>
      </c>
      <c r="B12" s="6" t="s">
        <v>19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7" t="s">
        <v>20</v>
      </c>
      <c r="B14" s="2"/>
    </row>
    <row r="15" customFormat="false" ht="15" hidden="false" customHeight="false" outlineLevel="0" collapsed="false">
      <c r="A15" s="8" t="s">
        <v>21</v>
      </c>
      <c r="B15" s="2"/>
    </row>
    <row r="16" customFormat="false" ht="15" hidden="false" customHeight="false" outlineLevel="0" collapsed="false">
      <c r="A16" s="8" t="s">
        <v>22</v>
      </c>
      <c r="B16" s="2"/>
    </row>
    <row r="17" customFormat="false" ht="15" hidden="false" customHeight="false" outlineLevel="0" collapsed="false">
      <c r="A17" s="8" t="s">
        <v>23</v>
      </c>
      <c r="B17" s="2"/>
    </row>
    <row r="18" customFormat="false" ht="15" hidden="false" customHeight="false" outlineLevel="0" collapsed="false">
      <c r="A18" s="8" t="s">
        <v>24</v>
      </c>
      <c r="B18" s="2"/>
    </row>
    <row r="19" customFormat="false" ht="15" hidden="false" customHeight="false" outlineLevel="0" collapsed="false">
      <c r="A19" s="8" t="s">
        <v>25</v>
      </c>
      <c r="B19" s="2"/>
    </row>
  </sheetData>
  <hyperlinks>
    <hyperlink ref="A5" r:id="rId1" location="'KPIs'!A1" display="KPIs"/>
    <hyperlink ref="A6" r:id="rId2" location="'Summary%20Tables'!A1" display="Summary Tables"/>
    <hyperlink ref="A7" r:id="rId3" location="'Severity%20x%20Dx'!A1" display="Severity x Dx"/>
    <hyperlink ref="A8" r:id="rId4" location="'Daily%20Census'!A1" display="Daily Census"/>
    <hyperlink ref="A9" r:id="rId5" location="'Clean%20Data'!A1" display="Clean Data"/>
    <hyperlink ref="A10" r:id="rId6" location="'Cleaning%20Log'!A1" display="Cleaning Log"/>
    <hyperlink ref="A11" r:id="rId7" location="'Data%20Dictionary'!A1" display="Data Dictionary"/>
    <hyperlink ref="A12" r:id="rId8" location="'Raw%20Data'!A1" display="Raw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5" min="5" style="0" width="58"/>
  </cols>
  <sheetData>
    <row r="1" customFormat="false" ht="19.7" hidden="false" customHeight="false" outlineLevel="0" collapsed="false">
      <c r="A1" s="1" t="s">
        <v>26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27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</row>
    <row r="5" customFormat="false" ht="15" hidden="false" customHeight="false" outlineLevel="0" collapsed="false">
      <c r="A5" s="9" t="s">
        <v>33</v>
      </c>
      <c r="B5" s="10" t="s">
        <v>34</v>
      </c>
      <c r="C5" s="11" t="n">
        <f aca="false">COUNTA('Clean Data'!$A$2:$A$248)</f>
        <v>247</v>
      </c>
      <c r="D5" s="9" t="s">
        <v>35</v>
      </c>
      <c r="E5" s="9" t="s">
        <v>36</v>
      </c>
    </row>
    <row r="6" customFormat="false" ht="15" hidden="false" customHeight="false" outlineLevel="0" collapsed="false">
      <c r="A6" s="9" t="s">
        <v>33</v>
      </c>
      <c r="B6" s="10" t="s">
        <v>37</v>
      </c>
      <c r="C6" s="12" t="n">
        <f aca="false">C5/SUMPRODUCT(1/COUNTIF('Clean Data'!$J$2:$J$248,'Clean Data'!$J$2:$J$248))</f>
        <v>35.2857142857143</v>
      </c>
      <c r="D6" s="9" t="s">
        <v>38</v>
      </c>
      <c r="E6" s="9" t="s">
        <v>39</v>
      </c>
    </row>
    <row r="7" customFormat="false" ht="15" hidden="false" customHeight="false" outlineLevel="0" collapsed="false">
      <c r="A7" s="9" t="s">
        <v>33</v>
      </c>
      <c r="B7" s="10" t="s">
        <v>40</v>
      </c>
      <c r="C7" s="13" t="n">
        <f aca="false">(SUMPRODUCT(('Clean Data'!$M$2:$M$248&lt;=DATE(2024,1,1))*'Clean Data'!$M$2:$M$248+('Clean Data'!$M$2:$M$248&gt;DATE(2024,1,1))*DATE(2024,1,1))-SUMPRODUCT(('Clean Data'!$L$2:$L$248&gt;=DATE(2023,1,1))*'Clean Data'!$L$2:$L$248+('Clean Data'!$L$2:$L$248&lt;DATE(2023,1,1))*DATE(2023,1,1)))/365</f>
        <v>4.15890410958904</v>
      </c>
      <c r="D7" s="9" t="s">
        <v>41</v>
      </c>
      <c r="E7" s="9" t="s">
        <v>42</v>
      </c>
    </row>
    <row r="8" customFormat="false" ht="15" hidden="false" customHeight="false" outlineLevel="0" collapsed="false">
      <c r="A8" s="9" t="s">
        <v>33</v>
      </c>
      <c r="B8" s="10" t="s">
        <v>43</v>
      </c>
      <c r="C8" s="11" t="n">
        <f aca="false">MAX('Daily Census'!B5:B383)</f>
        <v>13</v>
      </c>
      <c r="D8" s="9" t="s">
        <v>44</v>
      </c>
      <c r="E8" s="9" t="s">
        <v>45</v>
      </c>
    </row>
    <row r="9" customFormat="false" ht="15" hidden="false" customHeight="false" outlineLevel="0" collapsed="false">
      <c r="A9" s="14" t="s">
        <v>46</v>
      </c>
      <c r="B9" s="15" t="s">
        <v>47</v>
      </c>
      <c r="C9" s="16" t="n">
        <f aca="false">AVERAGE('Clean Data'!$N$2:$N$248)</f>
        <v>6.26315789473684</v>
      </c>
      <c r="D9" s="14" t="s">
        <v>48</v>
      </c>
      <c r="E9" s="14" t="s">
        <v>49</v>
      </c>
    </row>
    <row r="10" customFormat="false" ht="24.05" hidden="false" customHeight="false" outlineLevel="0" collapsed="false">
      <c r="A10" s="14" t="s">
        <v>46</v>
      </c>
      <c r="B10" s="15" t="s">
        <v>50</v>
      </c>
      <c r="C10" s="17" t="n">
        <f aca="false">MEDIAN('Clean Data'!$N$2:$N$248)</f>
        <v>4</v>
      </c>
      <c r="D10" s="14" t="s">
        <v>51</v>
      </c>
      <c r="E10" s="14" t="s">
        <v>52</v>
      </c>
    </row>
    <row r="11" customFormat="false" ht="15" hidden="false" customHeight="false" outlineLevel="0" collapsed="false">
      <c r="A11" s="14" t="s">
        <v>46</v>
      </c>
      <c r="B11" s="15" t="s">
        <v>53</v>
      </c>
      <c r="C11" s="18" t="n">
        <f aca="false">SUM('Clean Data'!$N$2:$N$248)</f>
        <v>1547</v>
      </c>
      <c r="D11" s="14" t="s">
        <v>54</v>
      </c>
      <c r="E11" s="14" t="s">
        <v>55</v>
      </c>
    </row>
    <row r="12" customFormat="false" ht="15" hidden="false" customHeight="false" outlineLevel="0" collapsed="false">
      <c r="A12" s="14" t="s">
        <v>46</v>
      </c>
      <c r="B12" s="15" t="s">
        <v>56</v>
      </c>
      <c r="C12" s="19" t="n">
        <f aca="false">COUNTIF('Clean Data'!$P$2:$P$248,TRUE())/C5</f>
        <v>0.255060728744939</v>
      </c>
      <c r="D12" s="14" t="s">
        <v>57</v>
      </c>
      <c r="E12" s="14" t="s">
        <v>58</v>
      </c>
    </row>
    <row r="13" customFormat="false" ht="15" hidden="false" customHeight="false" outlineLevel="0" collapsed="false">
      <c r="A13" s="14" t="s">
        <v>46</v>
      </c>
      <c r="B13" s="15" t="s">
        <v>59</v>
      </c>
      <c r="C13" s="19" t="n">
        <f aca="false">SUMIF('Clean Data'!$N$2:$N$248,"&gt;=15")/C11</f>
        <v>0.347123464770524</v>
      </c>
      <c r="D13" s="14" t="s">
        <v>60</v>
      </c>
      <c r="E13" s="14" t="s">
        <v>61</v>
      </c>
    </row>
    <row r="14" customFormat="false" ht="15" hidden="false" customHeight="false" outlineLevel="0" collapsed="false">
      <c r="A14" s="9" t="s">
        <v>62</v>
      </c>
      <c r="B14" s="10" t="s">
        <v>63</v>
      </c>
      <c r="C14" s="20" t="n">
        <f aca="false">COUNTIF('Clean Data'!$AB$2:$AB$248,TRUE())/C5</f>
        <v>0.360323886639676</v>
      </c>
      <c r="D14" s="9" t="s">
        <v>64</v>
      </c>
      <c r="E14" s="9" t="s">
        <v>65</v>
      </c>
    </row>
    <row r="15" customFormat="false" ht="15" hidden="false" customHeight="false" outlineLevel="0" collapsed="false">
      <c r="A15" s="9" t="s">
        <v>62</v>
      </c>
      <c r="B15" s="10" t="s">
        <v>66</v>
      </c>
      <c r="C15" s="20" t="n">
        <f aca="false">COUNTIF('Clean Data'!$C$2:$C$248,"&gt;=60")/C5</f>
        <v>0.360323886639676</v>
      </c>
      <c r="D15" s="9" t="s">
        <v>67</v>
      </c>
      <c r="E15" s="9" t="s">
        <v>68</v>
      </c>
    </row>
    <row r="16" customFormat="false" ht="15" hidden="false" customHeight="false" outlineLevel="0" collapsed="false">
      <c r="A16" s="9" t="s">
        <v>62</v>
      </c>
      <c r="B16" s="10" t="s">
        <v>69</v>
      </c>
      <c r="C16" s="12" t="n">
        <f aca="false">AVERAGE('Clean Data'!$C$2:$C$248)</f>
        <v>47.417004048583</v>
      </c>
      <c r="D16" s="9" t="s">
        <v>70</v>
      </c>
      <c r="E16" s="9" t="s">
        <v>71</v>
      </c>
    </row>
    <row r="17" customFormat="false" ht="15" hidden="false" customHeight="false" outlineLevel="0" collapsed="false">
      <c r="A17" s="14" t="s">
        <v>72</v>
      </c>
      <c r="B17" s="15" t="s">
        <v>73</v>
      </c>
      <c r="C17" s="19" t="n">
        <f aca="false">COUNTIF('Clean Data'!$Y$2:$Y$248,TRUE())/C5</f>
        <v>0.291497975708502</v>
      </c>
      <c r="D17" s="14" t="s">
        <v>74</v>
      </c>
      <c r="E17" s="14" t="s">
        <v>75</v>
      </c>
    </row>
    <row r="18" customFormat="false" ht="24.05" hidden="false" customHeight="false" outlineLevel="0" collapsed="false">
      <c r="A18" s="14" t="s">
        <v>72</v>
      </c>
      <c r="B18" s="15" t="s">
        <v>76</v>
      </c>
      <c r="C18" s="19" t="n">
        <f aca="false">COUNT('Clean Data'!$AC$2:$AC$248)/C5</f>
        <v>0.210526315789474</v>
      </c>
      <c r="D18" s="14" t="s">
        <v>77</v>
      </c>
      <c r="E18" s="14" t="s">
        <v>78</v>
      </c>
    </row>
    <row r="19" customFormat="false" ht="15" hidden="false" customHeight="false" outlineLevel="0" collapsed="false">
      <c r="A19" s="14" t="s">
        <v>72</v>
      </c>
      <c r="B19" s="15" t="s">
        <v>79</v>
      </c>
      <c r="C19" s="18" t="n">
        <f aca="false">AVERAGE('Clean Data'!$AC$2:$AC$248)</f>
        <v>2945.28846153846</v>
      </c>
      <c r="D19" s="14" t="s">
        <v>80</v>
      </c>
      <c r="E19" s="14" t="s">
        <v>81</v>
      </c>
    </row>
    <row r="20" customFormat="false" ht="15" hidden="false" customHeight="false" outlineLevel="0" collapsed="false">
      <c r="A20" s="14" t="s">
        <v>72</v>
      </c>
      <c r="B20" s="15" t="s">
        <v>82</v>
      </c>
      <c r="C20" s="18" t="n">
        <f aca="false">MEDIAN('Clean Data'!$AF$2:$AF$248)</f>
        <v>784.5</v>
      </c>
      <c r="D20" s="14" t="s">
        <v>83</v>
      </c>
      <c r="E20" s="14" t="s">
        <v>84</v>
      </c>
    </row>
    <row r="21" customFormat="false" ht="15" hidden="false" customHeight="false" outlineLevel="0" collapsed="false">
      <c r="A21" s="14" t="s">
        <v>72</v>
      </c>
      <c r="B21" s="15" t="s">
        <v>85</v>
      </c>
      <c r="C21" s="18" t="n">
        <f aca="false">SUM('Clean Data'!$AC$2:$AC$248)</f>
        <v>153155</v>
      </c>
      <c r="D21" s="14" t="s">
        <v>86</v>
      </c>
      <c r="E21" s="14" t="s">
        <v>87</v>
      </c>
    </row>
    <row r="22" customFormat="false" ht="15" hidden="false" customHeight="false" outlineLevel="0" collapsed="false">
      <c r="A22" s="9" t="s">
        <v>88</v>
      </c>
      <c r="B22" s="10" t="s">
        <v>89</v>
      </c>
      <c r="C22" s="20" t="n">
        <f aca="false">COUNTIF('Clean Data'!$AG$2:$AG$248,TRUE())/C5</f>
        <v>0.117408906882591</v>
      </c>
      <c r="D22" s="9" t="s">
        <v>90</v>
      </c>
      <c r="E22" s="9" t="s">
        <v>91</v>
      </c>
    </row>
    <row r="23" customFormat="false" ht="24.05" hidden="false" customHeight="false" outlineLevel="0" collapsed="false">
      <c r="A23" s="9" t="s">
        <v>88</v>
      </c>
      <c r="B23" s="10" t="s">
        <v>92</v>
      </c>
      <c r="C23" s="20" t="n">
        <f aca="false">COUNTIF('Clean Data'!$AH$2:$AH$248,"?*")/C5</f>
        <v>0.097165991902834</v>
      </c>
      <c r="D23" s="9" t="s">
        <v>93</v>
      </c>
      <c r="E23" s="9" t="s">
        <v>94</v>
      </c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30" hidden="false" customHeight="true" outlineLevel="0" collapsed="false">
      <c r="A25" s="21" t="s">
        <v>95</v>
      </c>
      <c r="B25" s="21"/>
      <c r="C25" s="21"/>
      <c r="D25" s="21"/>
      <c r="E25" s="21"/>
    </row>
  </sheetData>
  <mergeCells count="1"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2"/>
  </cols>
  <sheetData>
    <row r="1" customFormat="false" ht="19.7" hidden="false" customHeight="false" outlineLevel="0" collapsed="false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7" t="s">
        <v>98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30" hidden="false" customHeight="true" outlineLevel="0" collapsed="false">
      <c r="A5" s="4" t="s">
        <v>99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105</v>
      </c>
      <c r="H5" s="4" t="s">
        <v>63</v>
      </c>
      <c r="I5" s="4" t="s">
        <v>73</v>
      </c>
      <c r="J5" s="4" t="s">
        <v>106</v>
      </c>
      <c r="K5" s="4" t="s">
        <v>107</v>
      </c>
      <c r="L5" s="4" t="s">
        <v>108</v>
      </c>
    </row>
    <row r="6" customFormat="false" ht="15" hidden="false" customHeight="false" outlineLevel="0" collapsed="false">
      <c r="A6" s="22" t="s">
        <v>109</v>
      </c>
      <c r="B6" s="23" t="n">
        <f aca="false">COUNTIFS('Clean Data'!$G$2:$G$248,$A6)</f>
        <v>40</v>
      </c>
      <c r="C6" s="24" t="n">
        <f aca="false">B6/COUNTA('Clean Data'!$A$2:$A$248)</f>
        <v>0.161943319838057</v>
      </c>
      <c r="D6" s="25" t="n">
        <f aca="false">IFERROR(AVERAGEIFS('Clean Data'!$N$2:$N$248,'Clean Data'!$G$2:$G$248,$A6),"")</f>
        <v>6.275</v>
      </c>
      <c r="E6" s="23" t="n">
        <f aca="false">SUMIFS('Clean Data'!$N$2:$N$248,'Clean Data'!$G$2:$G$248,$A6)</f>
        <v>251</v>
      </c>
      <c r="F6" s="24" t="n">
        <f aca="false">E6/SUM('Clean Data'!$N$2:$N$248)</f>
        <v>0.162249515190692</v>
      </c>
      <c r="G6" s="24" t="n">
        <f aca="false">IFERROR(COUNTIFS('Clean Data'!$G$2:$G$248,$A6,'Clean Data'!$P$2:$P$248,TRUE())/B6,"")</f>
        <v>0.3</v>
      </c>
      <c r="H6" s="24" t="n">
        <f aca="false">IFERROR(COUNTIFS('Clean Data'!$G$2:$G$248,$A6,'Clean Data'!$AB$2:$AB$248,TRUE())/B6,"")</f>
        <v>0.325</v>
      </c>
      <c r="I6" s="24" t="n">
        <f aca="false">IFERROR(COUNTIFS('Clean Data'!$G$2:$G$248,$A6,'Clean Data'!$Y$2:$Y$248,TRUE())/B6,"")</f>
        <v>0.25</v>
      </c>
      <c r="J6" s="23" t="n">
        <f aca="false">COUNTIFS('Clean Data'!$G$2:$G$248,$A6,'Clean Data'!$AC$2:$AC$248,"&lt;&gt;")</f>
        <v>8</v>
      </c>
      <c r="K6" s="23" t="n">
        <f aca="false">IFERROR(AVERAGEIFS('Clean Data'!$AC$2:$AC$248,'Clean Data'!$G$2:$G$248,$A6),"-")</f>
        <v>2560.5</v>
      </c>
      <c r="L6" s="23" t="n">
        <f aca="false">COUNTIFS('Clean Data'!$G$2:$G$248,$A6,'Clean Data'!$AH$2:$AH$248,"?*")</f>
        <v>4</v>
      </c>
    </row>
    <row r="7" customFormat="false" ht="15" hidden="false" customHeight="false" outlineLevel="0" collapsed="false">
      <c r="A7" s="22" t="s">
        <v>110</v>
      </c>
      <c r="B7" s="23" t="n">
        <f aca="false">COUNTIFS('Clean Data'!$G$2:$G$248,$A7)</f>
        <v>37</v>
      </c>
      <c r="C7" s="24" t="n">
        <f aca="false">B7/COUNTA('Clean Data'!$A$2:$A$248)</f>
        <v>0.149797570850202</v>
      </c>
      <c r="D7" s="25" t="n">
        <f aca="false">IFERROR(AVERAGEIFS('Clean Data'!$N$2:$N$248,'Clean Data'!$G$2:$G$248,$A7),"")</f>
        <v>5.13513513513514</v>
      </c>
      <c r="E7" s="23" t="n">
        <f aca="false">SUMIFS('Clean Data'!$N$2:$N$248,'Clean Data'!$G$2:$G$248,$A7)</f>
        <v>190</v>
      </c>
      <c r="F7" s="24" t="n">
        <f aca="false">E7/SUM('Clean Data'!$N$2:$N$248)</f>
        <v>0.122818358112476</v>
      </c>
      <c r="G7" s="24" t="n">
        <f aca="false">IFERROR(COUNTIFS('Clean Data'!$G$2:$G$248,$A7,'Clean Data'!$P$2:$P$248,TRUE())/B7,"")</f>
        <v>0.135135135135135</v>
      </c>
      <c r="H7" s="24" t="n">
        <f aca="false">IFERROR(COUNTIFS('Clean Data'!$G$2:$G$248,$A7,'Clean Data'!$AB$2:$AB$248,TRUE())/B7,"")</f>
        <v>0.27027027027027</v>
      </c>
      <c r="I7" s="24" t="n">
        <f aca="false">IFERROR(COUNTIFS('Clean Data'!$G$2:$G$248,$A7,'Clean Data'!$Y$2:$Y$248,TRUE())/B7,"")</f>
        <v>0.243243243243243</v>
      </c>
      <c r="J7" s="23" t="n">
        <f aca="false">COUNTIFS('Clean Data'!$G$2:$G$248,$A7,'Clean Data'!$AC$2:$AC$248,"&lt;&gt;")</f>
        <v>13</v>
      </c>
      <c r="K7" s="23" t="n">
        <f aca="false">IFERROR(AVERAGEIFS('Clean Data'!$AC$2:$AC$248,'Clean Data'!$G$2:$G$248,$A7),"-")</f>
        <v>2799.46153846154</v>
      </c>
      <c r="L7" s="23" t="n">
        <f aca="false">COUNTIFS('Clean Data'!$G$2:$G$248,$A7,'Clean Data'!$AH$2:$AH$248,"?*")</f>
        <v>0</v>
      </c>
    </row>
    <row r="8" customFormat="false" ht="15" hidden="false" customHeight="false" outlineLevel="0" collapsed="false">
      <c r="A8" s="22" t="s">
        <v>111</v>
      </c>
      <c r="B8" s="23" t="n">
        <f aca="false">COUNTIFS('Clean Data'!$G$2:$G$248,$A8)</f>
        <v>34</v>
      </c>
      <c r="C8" s="24" t="n">
        <f aca="false">B8/COUNTA('Clean Data'!$A$2:$A$248)</f>
        <v>0.137651821862348</v>
      </c>
      <c r="D8" s="25" t="n">
        <f aca="false">IFERROR(AVERAGEIFS('Clean Data'!$N$2:$N$248,'Clean Data'!$G$2:$G$248,$A8),"")</f>
        <v>6.79411764705882</v>
      </c>
      <c r="E8" s="23" t="n">
        <f aca="false">SUMIFS('Clean Data'!$N$2:$N$248,'Clean Data'!$G$2:$G$248,$A8)</f>
        <v>231</v>
      </c>
      <c r="F8" s="24" t="n">
        <f aca="false">E8/SUM('Clean Data'!$N$2:$N$248)</f>
        <v>0.149321266968326</v>
      </c>
      <c r="G8" s="24" t="n">
        <f aca="false">IFERROR(COUNTIFS('Clean Data'!$G$2:$G$248,$A8,'Clean Data'!$P$2:$P$248,TRUE())/B8,"")</f>
        <v>0.352941176470588</v>
      </c>
      <c r="H8" s="24" t="n">
        <f aca="false">IFERROR(COUNTIFS('Clean Data'!$G$2:$G$248,$A8,'Clean Data'!$AB$2:$AB$248,TRUE())/B8,"")</f>
        <v>0.470588235294118</v>
      </c>
      <c r="I8" s="24" t="n">
        <f aca="false">IFERROR(COUNTIFS('Clean Data'!$G$2:$G$248,$A8,'Clean Data'!$Y$2:$Y$248,TRUE())/B8,"")</f>
        <v>0.323529411764706</v>
      </c>
      <c r="J8" s="23" t="n">
        <f aca="false">COUNTIFS('Clean Data'!$G$2:$G$248,$A8,'Clean Data'!$AC$2:$AC$248,"&lt;&gt;")</f>
        <v>4</v>
      </c>
      <c r="K8" s="23" t="n">
        <f aca="false">IFERROR(AVERAGEIFS('Clean Data'!$AC$2:$AC$248,'Clean Data'!$G$2:$G$248,$A8),"-")</f>
        <v>1873.75</v>
      </c>
      <c r="L8" s="23" t="n">
        <f aca="false">COUNTIFS('Clean Data'!$G$2:$G$248,$A8,'Clean Data'!$AH$2:$AH$248,"?*")</f>
        <v>4</v>
      </c>
    </row>
    <row r="9" customFormat="false" ht="15" hidden="false" customHeight="false" outlineLevel="0" collapsed="false">
      <c r="A9" s="22" t="s">
        <v>112</v>
      </c>
      <c r="B9" s="23" t="n">
        <f aca="false">COUNTIFS('Clean Data'!$G$2:$G$248,$A9)</f>
        <v>31</v>
      </c>
      <c r="C9" s="24" t="n">
        <f aca="false">B9/COUNTA('Clean Data'!$A$2:$A$248)</f>
        <v>0.125506072874494</v>
      </c>
      <c r="D9" s="25" t="n">
        <f aca="false">IFERROR(AVERAGEIFS('Clean Data'!$N$2:$N$248,'Clean Data'!$G$2:$G$248,$A9),"")</f>
        <v>7.74193548387097</v>
      </c>
      <c r="E9" s="23" t="n">
        <f aca="false">SUMIFS('Clean Data'!$N$2:$N$248,'Clean Data'!$G$2:$G$248,$A9)</f>
        <v>240</v>
      </c>
      <c r="F9" s="24" t="n">
        <f aca="false">E9/SUM('Clean Data'!$N$2:$N$248)</f>
        <v>0.15513897866839</v>
      </c>
      <c r="G9" s="24" t="n">
        <f aca="false">IFERROR(COUNTIFS('Clean Data'!$G$2:$G$248,$A9,'Clean Data'!$P$2:$P$248,TRUE())/B9,"")</f>
        <v>0.32258064516129</v>
      </c>
      <c r="H9" s="24" t="n">
        <f aca="false">IFERROR(COUNTIFS('Clean Data'!$G$2:$G$248,$A9,'Clean Data'!$AB$2:$AB$248,TRUE())/B9,"")</f>
        <v>0.483870967741936</v>
      </c>
      <c r="I9" s="24" t="n">
        <f aca="false">IFERROR(COUNTIFS('Clean Data'!$G$2:$G$248,$A9,'Clean Data'!$Y$2:$Y$248,TRUE())/B9,"")</f>
        <v>0.32258064516129</v>
      </c>
      <c r="J9" s="23" t="n">
        <f aca="false">COUNTIFS('Clean Data'!$G$2:$G$248,$A9,'Clean Data'!$AC$2:$AC$248,"&lt;&gt;")</f>
        <v>7</v>
      </c>
      <c r="K9" s="23" t="n">
        <f aca="false">IFERROR(AVERAGEIFS('Clean Data'!$AC$2:$AC$248,'Clean Data'!$G$2:$G$248,$A9),"-")</f>
        <v>3118</v>
      </c>
      <c r="L9" s="23" t="n">
        <f aca="false">COUNTIFS('Clean Data'!$G$2:$G$248,$A9,'Clean Data'!$AH$2:$AH$248,"?*")</f>
        <v>8</v>
      </c>
    </row>
    <row r="10" customFormat="false" ht="15" hidden="false" customHeight="false" outlineLevel="0" collapsed="false">
      <c r="A10" s="22" t="s">
        <v>113</v>
      </c>
      <c r="B10" s="23" t="n">
        <f aca="false">COUNTIFS('Clean Data'!$G$2:$G$248,$A10)</f>
        <v>28</v>
      </c>
      <c r="C10" s="24" t="n">
        <f aca="false">B10/COUNTA('Clean Data'!$A$2:$A$248)</f>
        <v>0.11336032388664</v>
      </c>
      <c r="D10" s="25" t="n">
        <f aca="false">IFERROR(AVERAGEIFS('Clean Data'!$N$2:$N$248,'Clean Data'!$G$2:$G$248,$A10),"")</f>
        <v>5.64285714285714</v>
      </c>
      <c r="E10" s="23" t="n">
        <f aca="false">SUMIFS('Clean Data'!$N$2:$N$248,'Clean Data'!$G$2:$G$248,$A10)</f>
        <v>158</v>
      </c>
      <c r="F10" s="24" t="n">
        <f aca="false">E10/SUM('Clean Data'!$N$2:$N$248)</f>
        <v>0.10213316095669</v>
      </c>
      <c r="G10" s="24" t="n">
        <f aca="false">IFERROR(COUNTIFS('Clean Data'!$G$2:$G$248,$A10,'Clean Data'!$P$2:$P$248,TRUE())/B10,"")</f>
        <v>0.142857142857143</v>
      </c>
      <c r="H10" s="24" t="n">
        <f aca="false">IFERROR(COUNTIFS('Clean Data'!$G$2:$G$248,$A10,'Clean Data'!$AB$2:$AB$248,TRUE())/B10,"")</f>
        <v>0.464285714285714</v>
      </c>
      <c r="I10" s="24" t="n">
        <f aca="false">IFERROR(COUNTIFS('Clean Data'!$G$2:$G$248,$A10,'Clean Data'!$Y$2:$Y$248,TRUE())/B10,"")</f>
        <v>0.285714285714286</v>
      </c>
      <c r="J10" s="23" t="n">
        <f aca="false">COUNTIFS('Clean Data'!$G$2:$G$248,$A10,'Clean Data'!$AC$2:$AC$248,"&lt;&gt;")</f>
        <v>5</v>
      </c>
      <c r="K10" s="23" t="n">
        <f aca="false">IFERROR(AVERAGEIFS('Clean Data'!$AC$2:$AC$248,'Clean Data'!$G$2:$G$248,$A10),"-")</f>
        <v>3968.6</v>
      </c>
      <c r="L10" s="23" t="n">
        <f aca="false">COUNTIFS('Clean Data'!$G$2:$G$248,$A10,'Clean Data'!$AH$2:$AH$248,"?*")</f>
        <v>0</v>
      </c>
    </row>
    <row r="11" customFormat="false" ht="15" hidden="false" customHeight="false" outlineLevel="0" collapsed="false">
      <c r="A11" s="22" t="s">
        <v>114</v>
      </c>
      <c r="B11" s="23" t="n">
        <f aca="false">COUNTIFS('Clean Data'!$G$2:$G$248,$A11)</f>
        <v>24</v>
      </c>
      <c r="C11" s="24" t="n">
        <f aca="false">B11/COUNTA('Clean Data'!$A$2:$A$248)</f>
        <v>0.097165991902834</v>
      </c>
      <c r="D11" s="25" t="n">
        <f aca="false">IFERROR(AVERAGEIFS('Clean Data'!$N$2:$N$248,'Clean Data'!$G$2:$G$248,$A11),"")</f>
        <v>5.79166666666667</v>
      </c>
      <c r="E11" s="23" t="n">
        <f aca="false">SUMIFS('Clean Data'!$N$2:$N$248,'Clean Data'!$G$2:$G$248,$A11)</f>
        <v>139</v>
      </c>
      <c r="F11" s="24" t="n">
        <f aca="false">E11/SUM('Clean Data'!$N$2:$N$248)</f>
        <v>0.0898513251454428</v>
      </c>
      <c r="G11" s="24" t="n">
        <f aca="false">IFERROR(COUNTIFS('Clean Data'!$G$2:$G$248,$A11,'Clean Data'!$P$2:$P$248,TRUE())/B11,"")</f>
        <v>0.166666666666667</v>
      </c>
      <c r="H11" s="24" t="n">
        <f aca="false">IFERROR(COUNTIFS('Clean Data'!$G$2:$G$248,$A11,'Clean Data'!$AB$2:$AB$248,TRUE())/B11,"")</f>
        <v>0.208333333333333</v>
      </c>
      <c r="I11" s="24" t="n">
        <f aca="false">IFERROR(COUNTIFS('Clean Data'!$G$2:$G$248,$A11,'Clean Data'!$Y$2:$Y$248,TRUE())/B11,"")</f>
        <v>0.166666666666667</v>
      </c>
      <c r="J11" s="23" t="n">
        <f aca="false">COUNTIFS('Clean Data'!$G$2:$G$248,$A11,'Clean Data'!$AC$2:$AC$248,"&lt;&gt;")</f>
        <v>6</v>
      </c>
      <c r="K11" s="23" t="n">
        <f aca="false">IFERROR(AVERAGEIFS('Clean Data'!$AC$2:$AC$248,'Clean Data'!$G$2:$G$248,$A11),"-")</f>
        <v>4533.16666666667</v>
      </c>
      <c r="L11" s="23" t="n">
        <f aca="false">COUNTIFS('Clean Data'!$G$2:$G$248,$A11,'Clean Data'!$AH$2:$AH$248,"?*")</f>
        <v>6</v>
      </c>
    </row>
    <row r="12" customFormat="false" ht="15" hidden="false" customHeight="false" outlineLevel="0" collapsed="false">
      <c r="A12" s="22" t="s">
        <v>115</v>
      </c>
      <c r="B12" s="23" t="n">
        <f aca="false">COUNTIFS('Clean Data'!$G$2:$G$248,$A12)</f>
        <v>19</v>
      </c>
      <c r="C12" s="24" t="n">
        <f aca="false">B12/COUNTA('Clean Data'!$A$2:$A$248)</f>
        <v>0.0769230769230769</v>
      </c>
      <c r="D12" s="25" t="n">
        <f aca="false">IFERROR(AVERAGEIFS('Clean Data'!$N$2:$N$248,'Clean Data'!$G$2:$G$248,$A12),"")</f>
        <v>6.42105263157895</v>
      </c>
      <c r="E12" s="23" t="n">
        <f aca="false">SUMIFS('Clean Data'!$N$2:$N$248,'Clean Data'!$G$2:$G$248,$A12)</f>
        <v>122</v>
      </c>
      <c r="F12" s="24" t="n">
        <f aca="false">E12/SUM('Clean Data'!$N$2:$N$248)</f>
        <v>0.0788623141564318</v>
      </c>
      <c r="G12" s="24" t="n">
        <f aca="false">IFERROR(COUNTIFS('Clean Data'!$G$2:$G$248,$A12,'Clean Data'!$P$2:$P$248,TRUE())/B12,"")</f>
        <v>0.315789473684211</v>
      </c>
      <c r="H12" s="24" t="n">
        <f aca="false">IFERROR(COUNTIFS('Clean Data'!$G$2:$G$248,$A12,'Clean Data'!$AB$2:$AB$248,TRUE())/B12,"")</f>
        <v>0.263157894736842</v>
      </c>
      <c r="I12" s="24" t="n">
        <f aca="false">IFERROR(COUNTIFS('Clean Data'!$G$2:$G$248,$A12,'Clean Data'!$Y$2:$Y$248,TRUE())/B12,"")</f>
        <v>0.368421052631579</v>
      </c>
      <c r="J12" s="23" t="n">
        <f aca="false">COUNTIFS('Clean Data'!$G$2:$G$248,$A12,'Clean Data'!$AC$2:$AC$248,"&lt;&gt;")</f>
        <v>3</v>
      </c>
      <c r="K12" s="23" t="n">
        <f aca="false">IFERROR(AVERAGEIFS('Clean Data'!$AC$2:$AC$248,'Clean Data'!$G$2:$G$248,$A12),"-")</f>
        <v>2461.33333333333</v>
      </c>
      <c r="L12" s="23" t="n">
        <f aca="false">COUNTIFS('Clean Data'!$G$2:$G$248,$A12,'Clean Data'!$AH$2:$AH$248,"?*")</f>
        <v>0</v>
      </c>
    </row>
    <row r="13" customFormat="false" ht="15" hidden="false" customHeight="false" outlineLevel="0" collapsed="false">
      <c r="A13" s="22" t="s">
        <v>116</v>
      </c>
      <c r="B13" s="23" t="n">
        <f aca="false">COUNTIFS('Clean Data'!$G$2:$G$248,$A13)</f>
        <v>15</v>
      </c>
      <c r="C13" s="24" t="n">
        <f aca="false">B13/COUNTA('Clean Data'!$A$2:$A$248)</f>
        <v>0.0607287449392713</v>
      </c>
      <c r="D13" s="25" t="n">
        <f aca="false">IFERROR(AVERAGEIFS('Clean Data'!$N$2:$N$248,'Clean Data'!$G$2:$G$248,$A13),"")</f>
        <v>6.4</v>
      </c>
      <c r="E13" s="23" t="n">
        <f aca="false">SUMIFS('Clean Data'!$N$2:$N$248,'Clean Data'!$G$2:$G$248,$A13)</f>
        <v>96</v>
      </c>
      <c r="F13" s="24" t="n">
        <f aca="false">E13/SUM('Clean Data'!$N$2:$N$248)</f>
        <v>0.0620555914673562</v>
      </c>
      <c r="G13" s="24" t="n">
        <f aca="false">IFERROR(COUNTIFS('Clean Data'!$G$2:$G$248,$A13,'Clean Data'!$P$2:$P$248,TRUE())/B13,"")</f>
        <v>0.266666666666667</v>
      </c>
      <c r="H13" s="24" t="n">
        <f aca="false">IFERROR(COUNTIFS('Clean Data'!$G$2:$G$248,$A13,'Clean Data'!$AB$2:$AB$248,TRUE())/B13,"")</f>
        <v>0.2</v>
      </c>
      <c r="I13" s="24" t="n">
        <f aca="false">IFERROR(COUNTIFS('Clean Data'!$G$2:$G$248,$A13,'Clean Data'!$Y$2:$Y$248,TRUE())/B13,"")</f>
        <v>0.4</v>
      </c>
      <c r="J13" s="23" t="n">
        <f aca="false">COUNTIFS('Clean Data'!$G$2:$G$248,$A13,'Clean Data'!$AC$2:$AC$248,"&lt;&gt;")</f>
        <v>2</v>
      </c>
      <c r="K13" s="23" t="n">
        <f aca="false">IFERROR(AVERAGEIFS('Clean Data'!$AC$2:$AC$248,'Clean Data'!$G$2:$G$248,$A13),"-")</f>
        <v>1009.5</v>
      </c>
      <c r="L13" s="23" t="n">
        <f aca="false">COUNTIFS('Clean Data'!$G$2:$G$248,$A13,'Clean Data'!$AH$2:$AH$248,"?*")</f>
        <v>1</v>
      </c>
    </row>
    <row r="14" customFormat="false" ht="15" hidden="false" customHeight="false" outlineLevel="0" collapsed="false">
      <c r="A14" s="22" t="s">
        <v>117</v>
      </c>
      <c r="B14" s="23" t="n">
        <f aca="false">COUNTIFS('Clean Data'!$G$2:$G$248,$A14)</f>
        <v>11</v>
      </c>
      <c r="C14" s="24" t="n">
        <f aca="false">B14/COUNTA('Clean Data'!$A$2:$A$248)</f>
        <v>0.0445344129554656</v>
      </c>
      <c r="D14" s="25" t="n">
        <f aca="false">IFERROR(AVERAGEIFS('Clean Data'!$N$2:$N$248,'Clean Data'!$G$2:$G$248,$A14),"")</f>
        <v>7.45454545454545</v>
      </c>
      <c r="E14" s="23" t="n">
        <f aca="false">SUMIFS('Clean Data'!$N$2:$N$248,'Clean Data'!$G$2:$G$248,$A14)</f>
        <v>82</v>
      </c>
      <c r="F14" s="24" t="n">
        <f aca="false">E14/SUM('Clean Data'!$N$2:$N$248)</f>
        <v>0.0530058177117001</v>
      </c>
      <c r="G14" s="24" t="n">
        <f aca="false">IFERROR(COUNTIFS('Clean Data'!$G$2:$G$248,$A14,'Clean Data'!$P$2:$P$248,TRUE())/B14,"")</f>
        <v>0.454545454545455</v>
      </c>
      <c r="H14" s="24" t="n">
        <f aca="false">IFERROR(COUNTIFS('Clean Data'!$G$2:$G$248,$A14,'Clean Data'!$AB$2:$AB$248,TRUE())/B14,"")</f>
        <v>0.272727272727273</v>
      </c>
      <c r="I14" s="24" t="n">
        <f aca="false">IFERROR(COUNTIFS('Clean Data'!$G$2:$G$248,$A14,'Clean Data'!$Y$2:$Y$248,TRUE())/B14,"")</f>
        <v>0.363636363636364</v>
      </c>
      <c r="J14" s="23" t="n">
        <f aca="false">COUNTIFS('Clean Data'!$G$2:$G$248,$A14,'Clean Data'!$AC$2:$AC$248,"&lt;&gt;")</f>
        <v>3</v>
      </c>
      <c r="K14" s="23" t="n">
        <f aca="false">IFERROR(AVERAGEIFS('Clean Data'!$AC$2:$AC$248,'Clean Data'!$G$2:$G$248,$A14),"-")</f>
        <v>3142</v>
      </c>
      <c r="L14" s="23" t="n">
        <f aca="false">COUNTIFS('Clean Data'!$G$2:$G$248,$A14,'Clean Data'!$AH$2:$AH$248,"?*")</f>
        <v>1</v>
      </c>
    </row>
    <row r="15" customFormat="false" ht="15" hidden="false" customHeight="false" outlineLevel="0" collapsed="false">
      <c r="A15" s="22" t="s">
        <v>118</v>
      </c>
      <c r="B15" s="23" t="n">
        <f aca="false">COUNTIFS('Clean Data'!$G$2:$G$248,$A15)</f>
        <v>8</v>
      </c>
      <c r="C15" s="24" t="n">
        <f aca="false">B15/COUNTA('Clean Data'!$A$2:$A$248)</f>
        <v>0.0323886639676113</v>
      </c>
      <c r="D15" s="25" t="n">
        <f aca="false">IFERROR(AVERAGEIFS('Clean Data'!$N$2:$N$248,'Clean Data'!$G$2:$G$248,$A15),"")</f>
        <v>4.75</v>
      </c>
      <c r="E15" s="23" t="n">
        <f aca="false">SUMIFS('Clean Data'!$N$2:$N$248,'Clean Data'!$G$2:$G$248,$A15)</f>
        <v>38</v>
      </c>
      <c r="F15" s="24" t="n">
        <f aca="false">E15/SUM('Clean Data'!$N$2:$N$248)</f>
        <v>0.0245636716224952</v>
      </c>
      <c r="G15" s="24" t="n">
        <f aca="false">IFERROR(COUNTIFS('Clean Data'!$G$2:$G$248,$A15,'Clean Data'!$P$2:$P$248,TRUE())/B15,"")</f>
        <v>0.125</v>
      </c>
      <c r="H15" s="24" t="n">
        <f aca="false">IFERROR(COUNTIFS('Clean Data'!$G$2:$G$248,$A15,'Clean Data'!$AB$2:$AB$248,TRUE())/B15,"")</f>
        <v>0.75</v>
      </c>
      <c r="I15" s="24" t="n">
        <f aca="false">IFERROR(COUNTIFS('Clean Data'!$G$2:$G$248,$A15,'Clean Data'!$Y$2:$Y$248,TRUE())/B15,"")</f>
        <v>0.375</v>
      </c>
      <c r="J15" s="23" t="n">
        <f aca="false">COUNTIFS('Clean Data'!$G$2:$G$248,$A15,'Clean Data'!$AC$2:$AC$248,"&lt;&gt;")</f>
        <v>1</v>
      </c>
      <c r="K15" s="23" t="n">
        <f aca="false">IFERROR(AVERAGEIFS('Clean Data'!$AC$2:$AC$248,'Clean Data'!$G$2:$G$248,$A15),"-")</f>
        <v>1086</v>
      </c>
      <c r="L15" s="23" t="n">
        <f aca="false">COUNTIFS('Clean Data'!$G$2:$G$248,$A15,'Clean Data'!$AH$2:$AH$248,"?*")</f>
        <v>0</v>
      </c>
    </row>
    <row r="16" customFormat="false" ht="15" hidden="false" customHeight="false" outlineLevel="0" collapsed="false">
      <c r="A16" s="26" t="s">
        <v>119</v>
      </c>
      <c r="B16" s="27" t="n">
        <f aca="false">SUM(B6:B15)</f>
        <v>247</v>
      </c>
      <c r="C16" s="28" t="n">
        <f aca="false">SUM(C6:C15)</f>
        <v>1</v>
      </c>
      <c r="D16" s="29" t="n">
        <f aca="false">E16/B16</f>
        <v>6.26315789473684</v>
      </c>
      <c r="E16" s="27" t="n">
        <f aca="false">SUM(E6:E15)</f>
        <v>1547</v>
      </c>
      <c r="F16" s="28" t="n">
        <f aca="false">SUM(F6:F15)</f>
        <v>1</v>
      </c>
      <c r="G16" s="30"/>
      <c r="H16" s="30"/>
      <c r="I16" s="30"/>
      <c r="J16" s="27" t="n">
        <f aca="false">SUM(J6:J15)</f>
        <v>52</v>
      </c>
      <c r="K16" s="30"/>
      <c r="L16" s="27" t="n">
        <f aca="false">SUM(L6:L15)</f>
        <v>24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7" t="s">
        <v>120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30" hidden="false" customHeight="true" outlineLevel="0" collapsed="false">
      <c r="A20" s="4" t="s">
        <v>121</v>
      </c>
      <c r="B20" s="4" t="s">
        <v>100</v>
      </c>
      <c r="C20" s="4" t="s">
        <v>101</v>
      </c>
      <c r="D20" s="4" t="s">
        <v>102</v>
      </c>
      <c r="E20" s="4" t="s">
        <v>103</v>
      </c>
      <c r="F20" s="4" t="s">
        <v>104</v>
      </c>
      <c r="G20" s="4" t="s">
        <v>105</v>
      </c>
      <c r="H20" s="4" t="s">
        <v>63</v>
      </c>
      <c r="I20" s="4" t="s">
        <v>73</v>
      </c>
      <c r="J20" s="4" t="s">
        <v>106</v>
      </c>
      <c r="K20" s="4" t="s">
        <v>107</v>
      </c>
      <c r="L20" s="4" t="s">
        <v>108</v>
      </c>
    </row>
    <row r="21" customFormat="false" ht="15" hidden="false" customHeight="false" outlineLevel="0" collapsed="false">
      <c r="A21" s="22" t="s">
        <v>122</v>
      </c>
      <c r="B21" s="23" t="n">
        <f aca="false">COUNTIFS('Clean Data'!$I$2:$I$248,$A21)</f>
        <v>105</v>
      </c>
      <c r="C21" s="24" t="n">
        <f aca="false">B21/COUNTA('Clean Data'!$A$2:$A$248)</f>
        <v>0.425101214574899</v>
      </c>
      <c r="D21" s="25" t="n">
        <f aca="false">IFERROR(AVERAGEIFS('Clean Data'!$N$2:$N$248,'Clean Data'!$I$2:$I$248,$A21),"")</f>
        <v>6.19047619047619</v>
      </c>
      <c r="E21" s="23" t="n">
        <f aca="false">SUMIFS('Clean Data'!$N$2:$N$248,'Clean Data'!$I$2:$I$248,$A21)</f>
        <v>650</v>
      </c>
      <c r="F21" s="24" t="n">
        <f aca="false">E21/SUM('Clean Data'!$N$2:$N$248)</f>
        <v>0.420168067226891</v>
      </c>
      <c r="G21" s="24" t="n">
        <f aca="false">IFERROR(COUNTIFS('Clean Data'!$I$2:$I$248,$A21,'Clean Data'!$P$2:$P$248,TRUE())/B21,"")</f>
        <v>0.247619047619048</v>
      </c>
      <c r="H21" s="24" t="n">
        <f aca="false">IFERROR(COUNTIFS('Clean Data'!$I$2:$I$248,$A21,'Clean Data'!$AB$2:$AB$248,TRUE())/B21,"")</f>
        <v>0.371428571428571</v>
      </c>
      <c r="I21" s="24" t="n">
        <f aca="false">IFERROR(COUNTIFS('Clean Data'!$I$2:$I$248,$A21,'Clean Data'!$Y$2:$Y$248,TRUE())/B21,"")</f>
        <v>0.285714285714286</v>
      </c>
      <c r="J21" s="23" t="n">
        <f aca="false">COUNTIFS('Clean Data'!$I$2:$I$248,$A21,'Clean Data'!$AC$2:$AC$248,"&lt;&gt;")</f>
        <v>18</v>
      </c>
      <c r="K21" s="23" t="n">
        <f aca="false">IFERROR(AVERAGEIFS('Clean Data'!$AC$2:$AC$248,'Clean Data'!$I$2:$I$248,$A21),"-")</f>
        <v>3440.05555555556</v>
      </c>
      <c r="L21" s="23" t="n">
        <f aca="false">COUNTIFS('Clean Data'!$I$2:$I$248,$A21,'Clean Data'!$AH$2:$AH$248,"?*")</f>
        <v>10</v>
      </c>
    </row>
    <row r="22" customFormat="false" ht="15" hidden="false" customHeight="false" outlineLevel="0" collapsed="false">
      <c r="A22" s="22" t="s">
        <v>123</v>
      </c>
      <c r="B22" s="23" t="n">
        <f aca="false">COUNTIFS('Clean Data'!$I$2:$I$248,$A22)</f>
        <v>79</v>
      </c>
      <c r="C22" s="24" t="n">
        <f aca="false">B22/COUNTA('Clean Data'!$A$2:$A$248)</f>
        <v>0.319838056680162</v>
      </c>
      <c r="D22" s="25" t="n">
        <f aca="false">IFERROR(AVERAGEIFS('Clean Data'!$N$2:$N$248,'Clean Data'!$I$2:$I$248,$A22),"")</f>
        <v>6.69620253164557</v>
      </c>
      <c r="E22" s="23" t="n">
        <f aca="false">SUMIFS('Clean Data'!$N$2:$N$248,'Clean Data'!$I$2:$I$248,$A22)</f>
        <v>529</v>
      </c>
      <c r="F22" s="24" t="n">
        <f aca="false">E22/SUM('Clean Data'!$N$2:$N$248)</f>
        <v>0.341952165481577</v>
      </c>
      <c r="G22" s="24" t="n">
        <f aca="false">IFERROR(COUNTIFS('Clean Data'!$I$2:$I$248,$A22,'Clean Data'!$P$2:$P$248,TRUE())/B22,"")</f>
        <v>0.291139240506329</v>
      </c>
      <c r="H22" s="24" t="n">
        <f aca="false">IFERROR(COUNTIFS('Clean Data'!$I$2:$I$248,$A22,'Clean Data'!$AB$2:$AB$248,TRUE())/B22,"")</f>
        <v>0.430379746835443</v>
      </c>
      <c r="I22" s="24" t="n">
        <f aca="false">IFERROR(COUNTIFS('Clean Data'!$I$2:$I$248,$A22,'Clean Data'!$Y$2:$Y$248,TRUE())/B22,"")</f>
        <v>0.291139240506329</v>
      </c>
      <c r="J22" s="23" t="n">
        <f aca="false">COUNTIFS('Clean Data'!$I$2:$I$248,$A22,'Clean Data'!$AC$2:$AC$248,"&lt;&gt;")</f>
        <v>16</v>
      </c>
      <c r="K22" s="23" t="n">
        <f aca="false">IFERROR(AVERAGEIFS('Clean Data'!$AC$2:$AC$248,'Clean Data'!$I$2:$I$248,$A22),"-")</f>
        <v>2712.25</v>
      </c>
      <c r="L22" s="23" t="n">
        <f aca="false">COUNTIFS('Clean Data'!$I$2:$I$248,$A22,'Clean Data'!$AH$2:$AH$248,"?*")</f>
        <v>12</v>
      </c>
    </row>
    <row r="23" customFormat="false" ht="15" hidden="false" customHeight="false" outlineLevel="0" collapsed="false">
      <c r="A23" s="22" t="s">
        <v>124</v>
      </c>
      <c r="B23" s="23" t="n">
        <f aca="false">COUNTIFS('Clean Data'!$I$2:$I$248,$A23)</f>
        <v>37</v>
      </c>
      <c r="C23" s="24" t="n">
        <f aca="false">B23/COUNTA('Clean Data'!$A$2:$A$248)</f>
        <v>0.149797570850202</v>
      </c>
      <c r="D23" s="25" t="n">
        <f aca="false">IFERROR(AVERAGEIFS('Clean Data'!$N$2:$N$248,'Clean Data'!$I$2:$I$248,$A23),"")</f>
        <v>5.13513513513514</v>
      </c>
      <c r="E23" s="23" t="n">
        <f aca="false">SUMIFS('Clean Data'!$N$2:$N$248,'Clean Data'!$I$2:$I$248,$A23)</f>
        <v>190</v>
      </c>
      <c r="F23" s="24" t="n">
        <f aca="false">E23/SUM('Clean Data'!$N$2:$N$248)</f>
        <v>0.122818358112476</v>
      </c>
      <c r="G23" s="24" t="n">
        <f aca="false">IFERROR(COUNTIFS('Clean Data'!$I$2:$I$248,$A23,'Clean Data'!$P$2:$P$248,TRUE())/B23,"")</f>
        <v>0.135135135135135</v>
      </c>
      <c r="H23" s="24" t="n">
        <f aca="false">IFERROR(COUNTIFS('Clean Data'!$I$2:$I$248,$A23,'Clean Data'!$AB$2:$AB$248,TRUE())/B23,"")</f>
        <v>0.27027027027027</v>
      </c>
      <c r="I23" s="24" t="n">
        <f aca="false">IFERROR(COUNTIFS('Clean Data'!$I$2:$I$248,$A23,'Clean Data'!$Y$2:$Y$248,TRUE())/B23,"")</f>
        <v>0.243243243243243</v>
      </c>
      <c r="J23" s="23" t="n">
        <f aca="false">COUNTIFS('Clean Data'!$I$2:$I$248,$A23,'Clean Data'!$AC$2:$AC$248,"&lt;&gt;")</f>
        <v>13</v>
      </c>
      <c r="K23" s="23" t="n">
        <f aca="false">IFERROR(AVERAGEIFS('Clean Data'!$AC$2:$AC$248,'Clean Data'!$I$2:$I$248,$A23),"-")</f>
        <v>2799.46153846154</v>
      </c>
      <c r="L23" s="23" t="n">
        <f aca="false">COUNTIFS('Clean Data'!$I$2:$I$248,$A23,'Clean Data'!$AH$2:$AH$248,"?*")</f>
        <v>0</v>
      </c>
    </row>
    <row r="24" customFormat="false" ht="15" hidden="false" customHeight="false" outlineLevel="0" collapsed="false">
      <c r="A24" s="22" t="s">
        <v>125</v>
      </c>
      <c r="B24" s="23" t="n">
        <f aca="false">COUNTIFS('Clean Data'!$I$2:$I$248,$A24)</f>
        <v>26</v>
      </c>
      <c r="C24" s="24" t="n">
        <f aca="false">B24/COUNTA('Clean Data'!$A$2:$A$248)</f>
        <v>0.105263157894737</v>
      </c>
      <c r="D24" s="25" t="n">
        <f aca="false">IFERROR(AVERAGEIFS('Clean Data'!$N$2:$N$248,'Clean Data'!$I$2:$I$248,$A24),"")</f>
        <v>6.84615384615385</v>
      </c>
      <c r="E24" s="23" t="n">
        <f aca="false">SUMIFS('Clean Data'!$N$2:$N$248,'Clean Data'!$I$2:$I$248,$A24)</f>
        <v>178</v>
      </c>
      <c r="F24" s="24" t="n">
        <f aca="false">E24/SUM('Clean Data'!$N$2:$N$248)</f>
        <v>0.115061409179056</v>
      </c>
      <c r="G24" s="24" t="n">
        <f aca="false">IFERROR(COUNTIFS('Clean Data'!$I$2:$I$248,$A24,'Clean Data'!$P$2:$P$248,TRUE())/B24,"")</f>
        <v>0.346153846153846</v>
      </c>
      <c r="H24" s="24" t="n">
        <f aca="false">IFERROR(COUNTIFS('Clean Data'!$I$2:$I$248,$A24,'Clean Data'!$AB$2:$AB$248,TRUE())/B24,"")</f>
        <v>0.230769230769231</v>
      </c>
      <c r="I24" s="24" t="n">
        <f aca="false">IFERROR(COUNTIFS('Clean Data'!$I$2:$I$248,$A24,'Clean Data'!$Y$2:$Y$248,TRUE())/B24,"")</f>
        <v>0.384615384615385</v>
      </c>
      <c r="J24" s="23" t="n">
        <f aca="false">COUNTIFS('Clean Data'!$I$2:$I$248,$A24,'Clean Data'!$AC$2:$AC$248,"&lt;&gt;")</f>
        <v>5</v>
      </c>
      <c r="K24" s="23" t="n">
        <f aca="false">IFERROR(AVERAGEIFS('Clean Data'!$AC$2:$AC$248,'Clean Data'!$I$2:$I$248,$A24),"-")</f>
        <v>2289</v>
      </c>
      <c r="L24" s="23" t="n">
        <f aca="false">COUNTIFS('Clean Data'!$I$2:$I$248,$A24,'Clean Data'!$AH$2:$AH$248,"?*")</f>
        <v>2</v>
      </c>
    </row>
    <row r="25" customFormat="false" ht="15" hidden="false" customHeight="false" outlineLevel="0" collapsed="false">
      <c r="A25" s="26" t="s">
        <v>119</v>
      </c>
      <c r="B25" s="27" t="n">
        <f aca="false">SUM(B21:B24)</f>
        <v>247</v>
      </c>
      <c r="C25" s="28" t="n">
        <f aca="false">SUM(C21:C24)</f>
        <v>1</v>
      </c>
      <c r="D25" s="29" t="n">
        <f aca="false">E25/B25</f>
        <v>6.26315789473684</v>
      </c>
      <c r="E25" s="27" t="n">
        <f aca="false">SUM(E21:E24)</f>
        <v>1547</v>
      </c>
      <c r="F25" s="28" t="n">
        <f aca="false">SUM(F21:F24)</f>
        <v>1</v>
      </c>
      <c r="G25" s="30"/>
      <c r="H25" s="30"/>
      <c r="I25" s="30"/>
      <c r="J25" s="27" t="n">
        <f aca="false">SUM(J21:J24)</f>
        <v>52</v>
      </c>
      <c r="K25" s="30"/>
      <c r="L25" s="27" t="n">
        <f aca="false">SUM(L21:L24)</f>
        <v>24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7" t="s">
        <v>126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30" hidden="false" customHeight="true" outlineLevel="0" collapsed="false">
      <c r="A29" s="4" t="s">
        <v>127</v>
      </c>
      <c r="B29" s="4" t="s">
        <v>100</v>
      </c>
      <c r="C29" s="4" t="s">
        <v>101</v>
      </c>
      <c r="D29" s="4" t="s">
        <v>102</v>
      </c>
      <c r="E29" s="4" t="s">
        <v>103</v>
      </c>
      <c r="F29" s="4" t="s">
        <v>104</v>
      </c>
      <c r="G29" s="4" t="s">
        <v>105</v>
      </c>
      <c r="H29" s="4" t="s">
        <v>63</v>
      </c>
      <c r="I29" s="4" t="s">
        <v>73</v>
      </c>
      <c r="J29" s="4" t="s">
        <v>106</v>
      </c>
      <c r="K29" s="4" t="s">
        <v>107</v>
      </c>
      <c r="L29" s="4" t="s">
        <v>108</v>
      </c>
    </row>
    <row r="30" customFormat="false" ht="15" hidden="false" customHeight="false" outlineLevel="0" collapsed="false">
      <c r="A30" s="22" t="s">
        <v>128</v>
      </c>
      <c r="B30" s="23" t="n">
        <f aca="false">COUNTIFS('Clean Data'!$J$2:$J$248,$A30)</f>
        <v>42</v>
      </c>
      <c r="C30" s="24" t="n">
        <f aca="false">B30/COUNTA('Clean Data'!$A$2:$A$248)</f>
        <v>0.17004048582996</v>
      </c>
      <c r="D30" s="25" t="n">
        <f aca="false">IFERROR(AVERAGEIFS('Clean Data'!$N$2:$N$248,'Clean Data'!$J$2:$J$248,$A30),"")</f>
        <v>7.47619047619048</v>
      </c>
      <c r="E30" s="23" t="n">
        <f aca="false">SUMIFS('Clean Data'!$N$2:$N$248,'Clean Data'!$J$2:$J$248,$A30)</f>
        <v>314</v>
      </c>
      <c r="F30" s="24" t="n">
        <f aca="false">E30/SUM('Clean Data'!$N$2:$N$248)</f>
        <v>0.202973497091144</v>
      </c>
      <c r="G30" s="24" t="n">
        <f aca="false">IFERROR(COUNTIFS('Clean Data'!$J$2:$J$248,$A30,'Clean Data'!$P$2:$P$248,TRUE())/B30,"")</f>
        <v>0.357142857142857</v>
      </c>
      <c r="H30" s="24" t="n">
        <f aca="false">IFERROR(COUNTIFS('Clean Data'!$J$2:$J$248,$A30,'Clean Data'!$AB$2:$AB$248,TRUE())/B30,"")</f>
        <v>0.452380952380952</v>
      </c>
      <c r="I30" s="24" t="n">
        <f aca="false">IFERROR(COUNTIFS('Clean Data'!$J$2:$J$248,$A30,'Clean Data'!$Y$2:$Y$248,TRUE())/B30,"")</f>
        <v>0.357142857142857</v>
      </c>
      <c r="J30" s="23" t="n">
        <f aca="false">COUNTIFS('Clean Data'!$J$2:$J$248,$A30,'Clean Data'!$AC$2:$AC$248,"&lt;&gt;")</f>
        <v>6</v>
      </c>
      <c r="K30" s="23" t="n">
        <f aca="false">IFERROR(AVERAGEIFS('Clean Data'!$AC$2:$AC$248,'Clean Data'!$J$2:$J$248,$A30),"-")</f>
        <v>4035.5</v>
      </c>
      <c r="L30" s="23" t="n">
        <f aca="false">COUNTIFS('Clean Data'!$J$2:$J$248,$A30,'Clean Data'!$AH$2:$AH$248,"?*")</f>
        <v>3</v>
      </c>
    </row>
    <row r="31" customFormat="false" ht="15" hidden="false" customHeight="false" outlineLevel="0" collapsed="false">
      <c r="A31" s="22" t="s">
        <v>129</v>
      </c>
      <c r="B31" s="23" t="n">
        <f aca="false">COUNTIFS('Clean Data'!$J$2:$J$248,$A31)</f>
        <v>41</v>
      </c>
      <c r="C31" s="24" t="n">
        <f aca="false">B31/COUNTA('Clean Data'!$A$2:$A$248)</f>
        <v>0.165991902834008</v>
      </c>
      <c r="D31" s="25" t="n">
        <f aca="false">IFERROR(AVERAGEIFS('Clean Data'!$N$2:$N$248,'Clean Data'!$J$2:$J$248,$A31),"")</f>
        <v>7.19512195121951</v>
      </c>
      <c r="E31" s="23" t="n">
        <f aca="false">SUMIFS('Clean Data'!$N$2:$N$248,'Clean Data'!$J$2:$J$248,$A31)</f>
        <v>295</v>
      </c>
      <c r="F31" s="24" t="n">
        <f aca="false">E31/SUM('Clean Data'!$N$2:$N$248)</f>
        <v>0.190691661279897</v>
      </c>
      <c r="G31" s="24" t="n">
        <f aca="false">IFERROR(COUNTIFS('Clean Data'!$J$2:$J$248,$A31,'Clean Data'!$P$2:$P$248,TRUE())/B31,"")</f>
        <v>0.341463414634146</v>
      </c>
      <c r="H31" s="24" t="n">
        <f aca="false">IFERROR(COUNTIFS('Clean Data'!$J$2:$J$248,$A31,'Clean Data'!$AB$2:$AB$248,TRUE())/B31,"")</f>
        <v>0.317073170731707</v>
      </c>
      <c r="I31" s="24" t="n">
        <f aca="false">IFERROR(COUNTIFS('Clean Data'!$J$2:$J$248,$A31,'Clean Data'!$Y$2:$Y$248,TRUE())/B31,"")</f>
        <v>0.317073170731707</v>
      </c>
      <c r="J31" s="23" t="n">
        <f aca="false">COUNTIFS('Clean Data'!$J$2:$J$248,$A31,'Clean Data'!$AC$2:$AC$248,"&lt;&gt;")</f>
        <v>8</v>
      </c>
      <c r="K31" s="23" t="n">
        <f aca="false">IFERROR(AVERAGEIFS('Clean Data'!$AC$2:$AC$248,'Clean Data'!$J$2:$J$248,$A31),"-")</f>
        <v>2417.5</v>
      </c>
      <c r="L31" s="23" t="n">
        <f aca="false">COUNTIFS('Clean Data'!$J$2:$J$248,$A31,'Clean Data'!$AH$2:$AH$248,"?*")</f>
        <v>9</v>
      </c>
    </row>
    <row r="32" customFormat="false" ht="15" hidden="false" customHeight="false" outlineLevel="0" collapsed="false">
      <c r="A32" s="22" t="s">
        <v>130</v>
      </c>
      <c r="B32" s="23" t="n">
        <f aca="false">COUNTIFS('Clean Data'!$J$2:$J$248,$A32)</f>
        <v>40</v>
      </c>
      <c r="C32" s="24" t="n">
        <f aca="false">B32/COUNTA('Clean Data'!$A$2:$A$248)</f>
        <v>0.161943319838057</v>
      </c>
      <c r="D32" s="25" t="n">
        <f aca="false">IFERROR(AVERAGEIFS('Clean Data'!$N$2:$N$248,'Clean Data'!$J$2:$J$248,$A32),"")</f>
        <v>5.15</v>
      </c>
      <c r="E32" s="23" t="n">
        <f aca="false">SUMIFS('Clean Data'!$N$2:$N$248,'Clean Data'!$J$2:$J$248,$A32)</f>
        <v>206</v>
      </c>
      <c r="F32" s="24" t="n">
        <f aca="false">E32/SUM('Clean Data'!$N$2:$N$248)</f>
        <v>0.133160956690368</v>
      </c>
      <c r="G32" s="24" t="n">
        <f aca="false">IFERROR(COUNTIFS('Clean Data'!$J$2:$J$248,$A32,'Clean Data'!$P$2:$P$248,TRUE())/B32,"")</f>
        <v>0.2</v>
      </c>
      <c r="H32" s="24" t="n">
        <f aca="false">IFERROR(COUNTIFS('Clean Data'!$J$2:$J$248,$A32,'Clean Data'!$AB$2:$AB$248,TRUE())/B32,"")</f>
        <v>0.325</v>
      </c>
      <c r="I32" s="24" t="n">
        <f aca="false">IFERROR(COUNTIFS('Clean Data'!$J$2:$J$248,$A32,'Clean Data'!$Y$2:$Y$248,TRUE())/B32,"")</f>
        <v>0.275</v>
      </c>
      <c r="J32" s="23" t="n">
        <f aca="false">COUNTIFS('Clean Data'!$J$2:$J$248,$A32,'Clean Data'!$AC$2:$AC$248,"&lt;&gt;")</f>
        <v>13</v>
      </c>
      <c r="K32" s="23" t="n">
        <f aca="false">IFERROR(AVERAGEIFS('Clean Data'!$AC$2:$AC$248,'Clean Data'!$J$2:$J$248,$A32),"-")</f>
        <v>3072.46153846154</v>
      </c>
      <c r="L32" s="23" t="n">
        <f aca="false">COUNTIFS('Clean Data'!$J$2:$J$248,$A32,'Clean Data'!$AH$2:$AH$248,"?*")</f>
        <v>0</v>
      </c>
    </row>
    <row r="33" customFormat="false" ht="15" hidden="false" customHeight="false" outlineLevel="0" collapsed="false">
      <c r="A33" s="22" t="s">
        <v>131</v>
      </c>
      <c r="B33" s="23" t="n">
        <f aca="false">COUNTIFS('Clean Data'!$J$2:$J$248,$A33)</f>
        <v>39</v>
      </c>
      <c r="C33" s="24" t="n">
        <f aca="false">B33/COUNTA('Clean Data'!$A$2:$A$248)</f>
        <v>0.157894736842105</v>
      </c>
      <c r="D33" s="25" t="n">
        <f aca="false">IFERROR(AVERAGEIFS('Clean Data'!$N$2:$N$248,'Clean Data'!$J$2:$J$248,$A33),"")</f>
        <v>6.92307692307692</v>
      </c>
      <c r="E33" s="23" t="n">
        <f aca="false">SUMIFS('Clean Data'!$N$2:$N$248,'Clean Data'!$J$2:$J$248,$A33)</f>
        <v>270</v>
      </c>
      <c r="F33" s="24" t="n">
        <f aca="false">E33/SUM('Clean Data'!$N$2:$N$248)</f>
        <v>0.174531351001939</v>
      </c>
      <c r="G33" s="24" t="n">
        <f aca="false">IFERROR(COUNTIFS('Clean Data'!$J$2:$J$248,$A33,'Clean Data'!$P$2:$P$248,TRUE())/B33,"")</f>
        <v>0.256410256410256</v>
      </c>
      <c r="H33" s="24" t="n">
        <f aca="false">IFERROR(COUNTIFS('Clean Data'!$J$2:$J$248,$A33,'Clean Data'!$AB$2:$AB$248,TRUE())/B33,"")</f>
        <v>0.358974358974359</v>
      </c>
      <c r="I33" s="24" t="n">
        <f aca="false">IFERROR(COUNTIFS('Clean Data'!$J$2:$J$248,$A33,'Clean Data'!$Y$2:$Y$248,TRUE())/B33,"")</f>
        <v>0.256410256410256</v>
      </c>
      <c r="J33" s="23" t="n">
        <f aca="false">COUNTIFS('Clean Data'!$J$2:$J$248,$A33,'Clean Data'!$AC$2:$AC$248,"&lt;&gt;")</f>
        <v>5</v>
      </c>
      <c r="K33" s="23" t="n">
        <f aca="false">IFERROR(AVERAGEIFS('Clean Data'!$AC$2:$AC$248,'Clean Data'!$J$2:$J$248,$A33),"-")</f>
        <v>4170.6</v>
      </c>
      <c r="L33" s="23" t="n">
        <f aca="false">COUNTIFS('Clean Data'!$J$2:$J$248,$A33,'Clean Data'!$AH$2:$AH$248,"?*")</f>
        <v>4</v>
      </c>
    </row>
    <row r="34" customFormat="false" ht="15" hidden="false" customHeight="false" outlineLevel="0" collapsed="false">
      <c r="A34" s="22" t="s">
        <v>132</v>
      </c>
      <c r="B34" s="23" t="n">
        <f aca="false">COUNTIFS('Clean Data'!$J$2:$J$248,$A34)</f>
        <v>34</v>
      </c>
      <c r="C34" s="24" t="n">
        <f aca="false">B34/COUNTA('Clean Data'!$A$2:$A$248)</f>
        <v>0.137651821862348</v>
      </c>
      <c r="D34" s="25" t="n">
        <f aca="false">IFERROR(AVERAGEIFS('Clean Data'!$N$2:$N$248,'Clean Data'!$J$2:$J$248,$A34),"")</f>
        <v>5.79411764705882</v>
      </c>
      <c r="E34" s="23" t="n">
        <f aca="false">SUMIFS('Clean Data'!$N$2:$N$248,'Clean Data'!$J$2:$J$248,$A34)</f>
        <v>197</v>
      </c>
      <c r="F34" s="24" t="n">
        <f aca="false">E34/SUM('Clean Data'!$N$2:$N$248)</f>
        <v>0.127343244990304</v>
      </c>
      <c r="G34" s="24" t="n">
        <f aca="false">IFERROR(COUNTIFS('Clean Data'!$J$2:$J$248,$A34,'Clean Data'!$P$2:$P$248,TRUE())/B34,"")</f>
        <v>0.205882352941176</v>
      </c>
      <c r="H34" s="24" t="n">
        <f aca="false">IFERROR(COUNTIFS('Clean Data'!$J$2:$J$248,$A34,'Clean Data'!$AB$2:$AB$248,TRUE())/B34,"")</f>
        <v>0.352941176470588</v>
      </c>
      <c r="I34" s="24" t="n">
        <f aca="false">IFERROR(COUNTIFS('Clean Data'!$J$2:$J$248,$A34,'Clean Data'!$Y$2:$Y$248,TRUE())/B34,"")</f>
        <v>0.205882352941176</v>
      </c>
      <c r="J34" s="23" t="n">
        <f aca="false">COUNTIFS('Clean Data'!$J$2:$J$248,$A34,'Clean Data'!$AC$2:$AC$248,"&lt;&gt;")</f>
        <v>7</v>
      </c>
      <c r="K34" s="23" t="n">
        <f aca="false">IFERROR(AVERAGEIFS('Clean Data'!$AC$2:$AC$248,'Clean Data'!$J$2:$J$248,$A34),"-")</f>
        <v>3569.28571428571</v>
      </c>
      <c r="L34" s="23" t="n">
        <f aca="false">COUNTIFS('Clean Data'!$J$2:$J$248,$A34,'Clean Data'!$AH$2:$AH$248,"?*")</f>
        <v>4</v>
      </c>
    </row>
    <row r="35" customFormat="false" ht="15" hidden="false" customHeight="false" outlineLevel="0" collapsed="false">
      <c r="A35" s="22" t="s">
        <v>133</v>
      </c>
      <c r="B35" s="23" t="n">
        <f aca="false">COUNTIFS('Clean Data'!$J$2:$J$248,$A35)</f>
        <v>27</v>
      </c>
      <c r="C35" s="24" t="n">
        <f aca="false">B35/COUNTA('Clean Data'!$A$2:$A$248)</f>
        <v>0.109311740890688</v>
      </c>
      <c r="D35" s="25" t="n">
        <f aca="false">IFERROR(AVERAGEIFS('Clean Data'!$N$2:$N$248,'Clean Data'!$J$2:$J$248,$A35),"")</f>
        <v>5.62962962962963</v>
      </c>
      <c r="E35" s="23" t="n">
        <f aca="false">SUMIFS('Clean Data'!$N$2:$N$248,'Clean Data'!$J$2:$J$248,$A35)</f>
        <v>152</v>
      </c>
      <c r="F35" s="24" t="n">
        <f aca="false">E35/SUM('Clean Data'!$N$2:$N$248)</f>
        <v>0.0982546864899806</v>
      </c>
      <c r="G35" s="24" t="n">
        <f aca="false">IFERROR(COUNTIFS('Clean Data'!$J$2:$J$248,$A35,'Clean Data'!$P$2:$P$248,TRUE())/B35,"")</f>
        <v>0.185185185185185</v>
      </c>
      <c r="H35" s="24" t="n">
        <f aca="false">IFERROR(COUNTIFS('Clean Data'!$J$2:$J$248,$A35,'Clean Data'!$AB$2:$AB$248,TRUE())/B35,"")</f>
        <v>0.407407407407407</v>
      </c>
      <c r="I35" s="24" t="n">
        <f aca="false">IFERROR(COUNTIFS('Clean Data'!$J$2:$J$248,$A35,'Clean Data'!$Y$2:$Y$248,TRUE())/B35,"")</f>
        <v>0.296296296296296</v>
      </c>
      <c r="J35" s="23" t="n">
        <f aca="false">COUNTIFS('Clean Data'!$J$2:$J$248,$A35,'Clean Data'!$AC$2:$AC$248,"&lt;&gt;")</f>
        <v>8</v>
      </c>
      <c r="K35" s="23" t="n">
        <f aca="false">IFERROR(AVERAGEIFS('Clean Data'!$AC$2:$AC$248,'Clean Data'!$J$2:$J$248,$A35),"-")</f>
        <v>1529.875</v>
      </c>
      <c r="L35" s="23" t="n">
        <f aca="false">COUNTIFS('Clean Data'!$J$2:$J$248,$A35,'Clean Data'!$AH$2:$AH$248,"?*")</f>
        <v>3</v>
      </c>
    </row>
    <row r="36" customFormat="false" ht="15" hidden="false" customHeight="false" outlineLevel="0" collapsed="false">
      <c r="A36" s="22" t="s">
        <v>134</v>
      </c>
      <c r="B36" s="23" t="n">
        <f aca="false">COUNTIFS('Clean Data'!$J$2:$J$248,$A36)</f>
        <v>24</v>
      </c>
      <c r="C36" s="24" t="n">
        <f aca="false">B36/COUNTA('Clean Data'!$A$2:$A$248)</f>
        <v>0.097165991902834</v>
      </c>
      <c r="D36" s="25" t="n">
        <f aca="false">IFERROR(AVERAGEIFS('Clean Data'!$N$2:$N$248,'Clean Data'!$J$2:$J$248,$A36),"")</f>
        <v>4.70833333333333</v>
      </c>
      <c r="E36" s="23" t="n">
        <f aca="false">SUMIFS('Clean Data'!$N$2:$N$248,'Clean Data'!$J$2:$J$248,$A36)</f>
        <v>113</v>
      </c>
      <c r="F36" s="24" t="n">
        <f aca="false">E36/SUM('Clean Data'!$N$2:$N$248)</f>
        <v>0.0730446024563672</v>
      </c>
      <c r="G36" s="24" t="n">
        <f aca="false">IFERROR(COUNTIFS('Clean Data'!$J$2:$J$248,$A36,'Clean Data'!$P$2:$P$248,TRUE())/B36,"")</f>
        <v>0.166666666666667</v>
      </c>
      <c r="H36" s="24" t="n">
        <f aca="false">IFERROR(COUNTIFS('Clean Data'!$J$2:$J$248,$A36,'Clean Data'!$AB$2:$AB$248,TRUE())/B36,"")</f>
        <v>0.291666666666667</v>
      </c>
      <c r="I36" s="24" t="n">
        <f aca="false">IFERROR(COUNTIFS('Clean Data'!$J$2:$J$248,$A36,'Clean Data'!$Y$2:$Y$248,TRUE())/B36,"")</f>
        <v>0.333333333333333</v>
      </c>
      <c r="J36" s="23" t="n">
        <f aca="false">COUNTIFS('Clean Data'!$J$2:$J$248,$A36,'Clean Data'!$AC$2:$AC$248,"&lt;&gt;")</f>
        <v>5</v>
      </c>
      <c r="K36" s="23" t="n">
        <f aca="false">IFERROR(AVERAGEIFS('Clean Data'!$AC$2:$AC$248,'Clean Data'!$J$2:$J$248,$A36),"-")</f>
        <v>2316.6</v>
      </c>
      <c r="L36" s="23" t="n">
        <f aca="false">COUNTIFS('Clean Data'!$J$2:$J$248,$A36,'Clean Data'!$AH$2:$AH$248,"?*")</f>
        <v>1</v>
      </c>
    </row>
    <row r="37" customFormat="false" ht="15" hidden="false" customHeight="false" outlineLevel="0" collapsed="false">
      <c r="A37" s="26" t="s">
        <v>119</v>
      </c>
      <c r="B37" s="27" t="n">
        <f aca="false">SUM(B30:B36)</f>
        <v>247</v>
      </c>
      <c r="C37" s="28" t="n">
        <f aca="false">SUM(C30:C36)</f>
        <v>1</v>
      </c>
      <c r="D37" s="29" t="n">
        <f aca="false">E37/B37</f>
        <v>6.26315789473684</v>
      </c>
      <c r="E37" s="27" t="n">
        <f aca="false">SUM(E30:E36)</f>
        <v>1547</v>
      </c>
      <c r="F37" s="28" t="n">
        <f aca="false">SUM(F30:F36)</f>
        <v>1</v>
      </c>
      <c r="G37" s="30"/>
      <c r="H37" s="30"/>
      <c r="I37" s="30"/>
      <c r="J37" s="27" t="n">
        <f aca="false">SUM(J30:J36)</f>
        <v>52</v>
      </c>
      <c r="K37" s="30"/>
      <c r="L37" s="27" t="n">
        <f aca="false">SUM(L30:L36)</f>
        <v>24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7" t="s">
        <v>135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30" hidden="false" customHeight="true" outlineLevel="0" collapsed="false">
      <c r="A41" s="4" t="s">
        <v>136</v>
      </c>
      <c r="B41" s="4" t="s">
        <v>100</v>
      </c>
      <c r="C41" s="4" t="s">
        <v>101</v>
      </c>
      <c r="D41" s="4" t="s">
        <v>102</v>
      </c>
      <c r="E41" s="4" t="s">
        <v>103</v>
      </c>
      <c r="F41" s="4" t="s">
        <v>104</v>
      </c>
      <c r="G41" s="4" t="s">
        <v>105</v>
      </c>
      <c r="H41" s="4" t="s">
        <v>63</v>
      </c>
      <c r="I41" s="4" t="s">
        <v>73</v>
      </c>
      <c r="J41" s="4" t="s">
        <v>106</v>
      </c>
      <c r="K41" s="4" t="s">
        <v>107</v>
      </c>
      <c r="L41" s="4" t="s">
        <v>108</v>
      </c>
    </row>
    <row r="42" customFormat="false" ht="15" hidden="false" customHeight="false" outlineLevel="0" collapsed="false">
      <c r="A42" s="22" t="s">
        <v>137</v>
      </c>
      <c r="B42" s="23" t="n">
        <f aca="false">COUNTIFS('Clean Data'!$W$2:$W$248,$A42)</f>
        <v>92</v>
      </c>
      <c r="C42" s="24" t="n">
        <f aca="false">B42/COUNTA('Clean Data'!$A$2:$A$248)</f>
        <v>0.37246963562753</v>
      </c>
      <c r="D42" s="25" t="n">
        <f aca="false">IFERROR(AVERAGEIFS('Clean Data'!$N$2:$N$248,'Clean Data'!$W$2:$W$248,$A42),"")</f>
        <v>6.08695652173913</v>
      </c>
      <c r="E42" s="23" t="n">
        <f aca="false">SUMIFS('Clean Data'!$N$2:$N$248,'Clean Data'!$W$2:$W$248,$A42)</f>
        <v>560</v>
      </c>
      <c r="F42" s="24" t="n">
        <f aca="false">E42/SUM('Clean Data'!$N$2:$N$248)</f>
        <v>0.361990950226244</v>
      </c>
      <c r="G42" s="24" t="n">
        <f aca="false">IFERROR(COUNTIFS('Clean Data'!$W$2:$W$248,$A42,'Clean Data'!$P$2:$P$248,TRUE())/B42,"")</f>
        <v>0.217391304347826</v>
      </c>
      <c r="H42" s="24" t="n">
        <f aca="false">IFERROR(COUNTIFS('Clean Data'!$W$2:$W$248,$A42,'Clean Data'!$AB$2:$AB$248,TRUE())/B42,"")</f>
        <v>0.358695652173913</v>
      </c>
      <c r="I42" s="24" t="n">
        <f aca="false">IFERROR(COUNTIFS('Clean Data'!$W$2:$W$248,$A42,'Clean Data'!$Y$2:$Y$248,TRUE())/B42,"")</f>
        <v>0</v>
      </c>
      <c r="J42" s="23" t="n">
        <f aca="false">COUNTIFS('Clean Data'!$W$2:$W$248,$A42,'Clean Data'!$AC$2:$AC$248,"&lt;&gt;")</f>
        <v>23</v>
      </c>
      <c r="K42" s="23" t="n">
        <f aca="false">IFERROR(AVERAGEIFS('Clean Data'!$AC$2:$AC$248,'Clean Data'!$W$2:$W$248,$A42),"-")</f>
        <v>3054.4347826087</v>
      </c>
      <c r="L42" s="23" t="n">
        <f aca="false">COUNTIFS('Clean Data'!$W$2:$W$248,$A42,'Clean Data'!$AH$2:$AH$248,"?*")</f>
        <v>10</v>
      </c>
    </row>
    <row r="43" customFormat="false" ht="15" hidden="false" customHeight="false" outlineLevel="0" collapsed="false">
      <c r="A43" s="22" t="s">
        <v>138</v>
      </c>
      <c r="B43" s="23" t="n">
        <f aca="false">COUNTIFS('Clean Data'!$W$2:$W$248,$A43)</f>
        <v>83</v>
      </c>
      <c r="C43" s="24" t="n">
        <f aca="false">B43/COUNTA('Clean Data'!$A$2:$A$248)</f>
        <v>0.336032388663968</v>
      </c>
      <c r="D43" s="25" t="n">
        <f aca="false">IFERROR(AVERAGEIFS('Clean Data'!$N$2:$N$248,'Clean Data'!$W$2:$W$248,$A43),"")</f>
        <v>6.34939759036145</v>
      </c>
      <c r="E43" s="23" t="n">
        <f aca="false">SUMIFS('Clean Data'!$N$2:$N$248,'Clean Data'!$W$2:$W$248,$A43)</f>
        <v>527</v>
      </c>
      <c r="F43" s="24" t="n">
        <f aca="false">E43/SUM('Clean Data'!$N$2:$N$248)</f>
        <v>0.340659340659341</v>
      </c>
      <c r="G43" s="24" t="n">
        <f aca="false">IFERROR(COUNTIFS('Clean Data'!$W$2:$W$248,$A43,'Clean Data'!$P$2:$P$248,TRUE())/B43,"")</f>
        <v>0.265060240963855</v>
      </c>
      <c r="H43" s="24" t="n">
        <f aca="false">IFERROR(COUNTIFS('Clean Data'!$W$2:$W$248,$A43,'Clean Data'!$AB$2:$AB$248,TRUE())/B43,"")</f>
        <v>0.36144578313253</v>
      </c>
      <c r="I43" s="24" t="n">
        <f aca="false">IFERROR(COUNTIFS('Clean Data'!$W$2:$W$248,$A43,'Clean Data'!$Y$2:$Y$248,TRUE())/B43,"")</f>
        <v>0</v>
      </c>
      <c r="J43" s="23" t="n">
        <f aca="false">COUNTIFS('Clean Data'!$W$2:$W$248,$A43,'Clean Data'!$AC$2:$AC$248,"&lt;&gt;")</f>
        <v>18</v>
      </c>
      <c r="K43" s="23" t="n">
        <f aca="false">IFERROR(AVERAGEIFS('Clean Data'!$AC$2:$AC$248,'Clean Data'!$W$2:$W$248,$A43),"-")</f>
        <v>3184.33333333333</v>
      </c>
      <c r="L43" s="23" t="n">
        <f aca="false">COUNTIFS('Clean Data'!$W$2:$W$248,$A43,'Clean Data'!$AH$2:$AH$248,"?*")</f>
        <v>10</v>
      </c>
    </row>
    <row r="44" customFormat="false" ht="15" hidden="false" customHeight="false" outlineLevel="0" collapsed="false">
      <c r="A44" s="22" t="s">
        <v>139</v>
      </c>
      <c r="B44" s="23" t="n">
        <f aca="false">COUNTIFS('Clean Data'!$W$2:$W$248,$A44)</f>
        <v>72</v>
      </c>
      <c r="C44" s="24" t="n">
        <f aca="false">B44/COUNTA('Clean Data'!$A$2:$A$248)</f>
        <v>0.291497975708502</v>
      </c>
      <c r="D44" s="25" t="n">
        <f aca="false">IFERROR(AVERAGEIFS('Clean Data'!$N$2:$N$248,'Clean Data'!$W$2:$W$248,$A44),"")</f>
        <v>6.38888888888889</v>
      </c>
      <c r="E44" s="23" t="n">
        <f aca="false">SUMIFS('Clean Data'!$N$2:$N$248,'Clean Data'!$W$2:$W$248,$A44)</f>
        <v>460</v>
      </c>
      <c r="F44" s="24" t="n">
        <f aca="false">E44/SUM('Clean Data'!$N$2:$N$248)</f>
        <v>0.297349709114415</v>
      </c>
      <c r="G44" s="24" t="n">
        <f aca="false">IFERROR(COUNTIFS('Clean Data'!$W$2:$W$248,$A44,'Clean Data'!$P$2:$P$248,TRUE())/B44,"")</f>
        <v>0.291666666666667</v>
      </c>
      <c r="H44" s="24" t="n">
        <f aca="false">IFERROR(COUNTIFS('Clean Data'!$W$2:$W$248,$A44,'Clean Data'!$AB$2:$AB$248,TRUE())/B44,"")</f>
        <v>0.361111111111111</v>
      </c>
      <c r="I44" s="24" t="n">
        <f aca="false">IFERROR(COUNTIFS('Clean Data'!$W$2:$W$248,$A44,'Clean Data'!$Y$2:$Y$248,TRUE())/B44,"")</f>
        <v>1</v>
      </c>
      <c r="J44" s="23" t="n">
        <f aca="false">COUNTIFS('Clean Data'!$W$2:$W$248,$A44,'Clean Data'!$AC$2:$AC$248,"&lt;&gt;")</f>
        <v>11</v>
      </c>
      <c r="K44" s="23" t="n">
        <f aca="false">IFERROR(AVERAGEIFS('Clean Data'!$AC$2:$AC$248,'Clean Data'!$W$2:$W$248,$A44),"-")</f>
        <v>2325.90909090909</v>
      </c>
      <c r="L44" s="23" t="n">
        <f aca="false">COUNTIFS('Clean Data'!$W$2:$W$248,$A44,'Clean Data'!$AH$2:$AH$248,"?*")</f>
        <v>4</v>
      </c>
    </row>
    <row r="45" customFormat="false" ht="15" hidden="false" customHeight="false" outlineLevel="0" collapsed="false">
      <c r="A45" s="26" t="s">
        <v>119</v>
      </c>
      <c r="B45" s="27" t="n">
        <f aca="false">SUM(B42:B44)</f>
        <v>247</v>
      </c>
      <c r="C45" s="28" t="n">
        <f aca="false">SUM(C42:C44)</f>
        <v>1</v>
      </c>
      <c r="D45" s="29" t="n">
        <f aca="false">E45/B45</f>
        <v>6.26315789473684</v>
      </c>
      <c r="E45" s="27" t="n">
        <f aca="false">SUM(E42:E44)</f>
        <v>1547</v>
      </c>
      <c r="F45" s="28" t="n">
        <f aca="false">SUM(F42:F44)</f>
        <v>1</v>
      </c>
      <c r="G45" s="30"/>
      <c r="H45" s="30"/>
      <c r="I45" s="30"/>
      <c r="J45" s="27" t="n">
        <f aca="false">SUM(J42:J44)</f>
        <v>52</v>
      </c>
      <c r="K45" s="30"/>
      <c r="L45" s="27" t="n">
        <f aca="false">SUM(L42:L44)</f>
        <v>24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7" t="s">
        <v>140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30" hidden="false" customHeight="true" outlineLevel="0" collapsed="false">
      <c r="A49" s="4" t="s">
        <v>141</v>
      </c>
      <c r="B49" s="4" t="s">
        <v>100</v>
      </c>
      <c r="C49" s="4" t="s">
        <v>101</v>
      </c>
      <c r="D49" s="4" t="s">
        <v>102</v>
      </c>
      <c r="E49" s="4" t="s">
        <v>103</v>
      </c>
      <c r="F49" s="4" t="s">
        <v>104</v>
      </c>
      <c r="G49" s="4" t="s">
        <v>105</v>
      </c>
      <c r="H49" s="4" t="s">
        <v>63</v>
      </c>
      <c r="I49" s="4" t="s">
        <v>73</v>
      </c>
      <c r="J49" s="4" t="s">
        <v>106</v>
      </c>
      <c r="K49" s="4" t="s">
        <v>107</v>
      </c>
      <c r="L49" s="4" t="s">
        <v>108</v>
      </c>
    </row>
    <row r="50" customFormat="false" ht="15" hidden="false" customHeight="false" outlineLevel="0" collapsed="false">
      <c r="A50" s="22" t="s">
        <v>142</v>
      </c>
      <c r="B50" s="23" t="n">
        <f aca="false">COUNTIFS('Clean Data'!$Z$2:$Z$248,$A50)</f>
        <v>81</v>
      </c>
      <c r="C50" s="24" t="n">
        <f aca="false">B50/COUNTA('Clean Data'!$A$2:$A$248)</f>
        <v>0.327935222672065</v>
      </c>
      <c r="D50" s="25" t="n">
        <f aca="false">IFERROR(AVERAGEIFS('Clean Data'!$N$2:$N$248,'Clean Data'!$Z$2:$Z$248,$A50),"")</f>
        <v>5.87654320987654</v>
      </c>
      <c r="E50" s="23" t="n">
        <f aca="false">SUMIFS('Clean Data'!$N$2:$N$248,'Clean Data'!$Z$2:$Z$248,$A50)</f>
        <v>476</v>
      </c>
      <c r="F50" s="24" t="n">
        <f aca="false">E50/SUM('Clean Data'!$N$2:$N$248)</f>
        <v>0.307692307692308</v>
      </c>
      <c r="G50" s="24" t="n">
        <f aca="false">IFERROR(COUNTIFS('Clean Data'!$Z$2:$Z$248,$A50,'Clean Data'!$P$2:$P$248,TRUE())/B50,"")</f>
        <v>0.222222222222222</v>
      </c>
      <c r="H50" s="24" t="n">
        <f aca="false">IFERROR(COUNTIFS('Clean Data'!$Z$2:$Z$248,$A50,'Clean Data'!$AB$2:$AB$248,TRUE())/B50,"")</f>
        <v>0</v>
      </c>
      <c r="I50" s="24" t="n">
        <f aca="false">IFERROR(COUNTIFS('Clean Data'!$Z$2:$Z$248,$A50,'Clean Data'!$Y$2:$Y$248,TRUE())/B50,"")</f>
        <v>0.259259259259259</v>
      </c>
      <c r="J50" s="23" t="n">
        <f aca="false">COUNTIFS('Clean Data'!$Z$2:$Z$248,$A50,'Clean Data'!$AC$2:$AC$248,"&lt;&gt;")</f>
        <v>20</v>
      </c>
      <c r="K50" s="23" t="n">
        <f aca="false">IFERROR(AVERAGEIFS('Clean Data'!$AC$2:$AC$248,'Clean Data'!$Z$2:$Z$248,$A50),"-")</f>
        <v>3159.4</v>
      </c>
      <c r="L50" s="23" t="n">
        <f aca="false">COUNTIFS('Clean Data'!$Z$2:$Z$248,$A50,'Clean Data'!$AH$2:$AH$248,"?*")</f>
        <v>10</v>
      </c>
    </row>
    <row r="51" customFormat="false" ht="15" hidden="false" customHeight="false" outlineLevel="0" collapsed="false">
      <c r="A51" s="22" t="s">
        <v>143</v>
      </c>
      <c r="B51" s="23" t="n">
        <f aca="false">COUNTIFS('Clean Data'!$Z$2:$Z$248,$A51)</f>
        <v>77</v>
      </c>
      <c r="C51" s="24" t="n">
        <f aca="false">B51/COUNTA('Clean Data'!$A$2:$A$248)</f>
        <v>0.311740890688259</v>
      </c>
      <c r="D51" s="25" t="n">
        <f aca="false">IFERROR(AVERAGEIFS('Clean Data'!$N$2:$N$248,'Clean Data'!$Z$2:$Z$248,$A51),"")</f>
        <v>6.62337662337662</v>
      </c>
      <c r="E51" s="23" t="n">
        <f aca="false">SUMIFS('Clean Data'!$N$2:$N$248,'Clean Data'!$Z$2:$Z$248,$A51)</f>
        <v>510</v>
      </c>
      <c r="F51" s="24" t="n">
        <f aca="false">E51/SUM('Clean Data'!$N$2:$N$248)</f>
        <v>0.32967032967033</v>
      </c>
      <c r="G51" s="24" t="n">
        <f aca="false">IFERROR(COUNTIFS('Clean Data'!$Z$2:$Z$248,$A51,'Clean Data'!$P$2:$P$248,TRUE())/B51,"")</f>
        <v>0.311688311688312</v>
      </c>
      <c r="H51" s="24" t="n">
        <f aca="false">IFERROR(COUNTIFS('Clean Data'!$Z$2:$Z$248,$A51,'Clean Data'!$AB$2:$AB$248,TRUE())/B51,"")</f>
        <v>0</v>
      </c>
      <c r="I51" s="24" t="n">
        <f aca="false">IFERROR(COUNTIFS('Clean Data'!$Z$2:$Z$248,$A51,'Clean Data'!$Y$2:$Y$248,TRUE())/B51,"")</f>
        <v>0.324675324675325</v>
      </c>
      <c r="J51" s="23" t="n">
        <f aca="false">COUNTIFS('Clean Data'!$Z$2:$Z$248,$A51,'Clean Data'!$AC$2:$AC$248,"&lt;&gt;")</f>
        <v>18</v>
      </c>
      <c r="K51" s="23" t="n">
        <f aca="false">IFERROR(AVERAGEIFS('Clean Data'!$AC$2:$AC$248,'Clean Data'!$Z$2:$Z$248,$A51),"-")</f>
        <v>3214.88888888889</v>
      </c>
      <c r="L51" s="23" t="n">
        <f aca="false">COUNTIFS('Clean Data'!$Z$2:$Z$248,$A51,'Clean Data'!$AH$2:$AH$248,"?*")</f>
        <v>7</v>
      </c>
    </row>
    <row r="52" customFormat="false" ht="15" hidden="false" customHeight="false" outlineLevel="0" collapsed="false">
      <c r="A52" s="22" t="s">
        <v>144</v>
      </c>
      <c r="B52" s="23" t="n">
        <f aca="false">COUNTIFS('Clean Data'!$Z$2:$Z$248,$A52)</f>
        <v>89</v>
      </c>
      <c r="C52" s="24" t="n">
        <f aca="false">B52/COUNTA('Clean Data'!$A$2:$A$248)</f>
        <v>0.360323886639676</v>
      </c>
      <c r="D52" s="25" t="n">
        <f aca="false">IFERROR(AVERAGEIFS('Clean Data'!$N$2:$N$248,'Clean Data'!$Z$2:$Z$248,$A52),"")</f>
        <v>6.30337078651685</v>
      </c>
      <c r="E52" s="23" t="n">
        <f aca="false">SUMIFS('Clean Data'!$N$2:$N$248,'Clean Data'!$Z$2:$Z$248,$A52)</f>
        <v>561</v>
      </c>
      <c r="F52" s="24" t="n">
        <f aca="false">E52/SUM('Clean Data'!$N$2:$N$248)</f>
        <v>0.362637362637363</v>
      </c>
      <c r="G52" s="24" t="n">
        <f aca="false">IFERROR(COUNTIFS('Clean Data'!$Z$2:$Z$248,$A52,'Clean Data'!$P$2:$P$248,TRUE())/B52,"")</f>
        <v>0.235955056179775</v>
      </c>
      <c r="H52" s="24" t="n">
        <f aca="false">IFERROR(COUNTIFS('Clean Data'!$Z$2:$Z$248,$A52,'Clean Data'!$AB$2:$AB$248,TRUE())/B52,"")</f>
        <v>1</v>
      </c>
      <c r="I52" s="24" t="n">
        <f aca="false">IFERROR(COUNTIFS('Clean Data'!$Z$2:$Z$248,$A52,'Clean Data'!$Y$2:$Y$248,TRUE())/B52,"")</f>
        <v>0.292134831460674</v>
      </c>
      <c r="J52" s="23" t="n">
        <f aca="false">COUNTIFS('Clean Data'!$Z$2:$Z$248,$A52,'Clean Data'!$AC$2:$AC$248,"&lt;&gt;")</f>
        <v>14</v>
      </c>
      <c r="K52" s="23" t="n">
        <f aca="false">IFERROR(AVERAGEIFS('Clean Data'!$AC$2:$AC$248,'Clean Data'!$Z$2:$Z$248,$A52),"-")</f>
        <v>2292.78571428571</v>
      </c>
      <c r="L52" s="23" t="n">
        <f aca="false">COUNTIFS('Clean Data'!$Z$2:$Z$248,$A52,'Clean Data'!$AH$2:$AH$248,"?*")</f>
        <v>7</v>
      </c>
    </row>
    <row r="53" customFormat="false" ht="15" hidden="false" customHeight="false" outlineLevel="0" collapsed="false">
      <c r="A53" s="26" t="s">
        <v>119</v>
      </c>
      <c r="B53" s="27" t="n">
        <f aca="false">SUM(B50:B52)</f>
        <v>247</v>
      </c>
      <c r="C53" s="28" t="n">
        <f aca="false">SUM(C50:C52)</f>
        <v>1</v>
      </c>
      <c r="D53" s="29" t="n">
        <f aca="false">E53/B53</f>
        <v>6.26315789473684</v>
      </c>
      <c r="E53" s="27" t="n">
        <f aca="false">SUM(E50:E52)</f>
        <v>1547</v>
      </c>
      <c r="F53" s="28" t="n">
        <f aca="false">SUM(F50:F52)</f>
        <v>1</v>
      </c>
      <c r="G53" s="30"/>
      <c r="H53" s="30"/>
      <c r="I53" s="30"/>
      <c r="J53" s="27" t="n">
        <f aca="false">SUM(J50:J52)</f>
        <v>52</v>
      </c>
      <c r="K53" s="30"/>
      <c r="L53" s="27" t="n">
        <f aca="false">SUM(L50:L52)</f>
        <v>24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7" t="s">
        <v>145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30" hidden="false" customHeight="true" outlineLevel="0" collapsed="false">
      <c r="A57" s="4" t="s">
        <v>146</v>
      </c>
      <c r="B57" s="4" t="s">
        <v>100</v>
      </c>
      <c r="C57" s="4" t="s">
        <v>101</v>
      </c>
      <c r="D57" s="4" t="s">
        <v>102</v>
      </c>
      <c r="E57" s="4" t="s">
        <v>103</v>
      </c>
      <c r="F57" s="4" t="s">
        <v>104</v>
      </c>
      <c r="G57" s="4" t="s">
        <v>105</v>
      </c>
      <c r="H57" s="4" t="s">
        <v>63</v>
      </c>
      <c r="I57" s="4" t="s">
        <v>73</v>
      </c>
      <c r="J57" s="4" t="s">
        <v>106</v>
      </c>
      <c r="K57" s="4" t="s">
        <v>107</v>
      </c>
      <c r="L57" s="4" t="s">
        <v>108</v>
      </c>
    </row>
    <row r="58" customFormat="false" ht="15" hidden="false" customHeight="false" outlineLevel="0" collapsed="false">
      <c r="A58" s="22" t="s">
        <v>147</v>
      </c>
      <c r="B58" s="23" t="n">
        <f aca="false">COUNTIFS('Clean Data'!$D$2:$D$248,$A58)</f>
        <v>48</v>
      </c>
      <c r="C58" s="24" t="n">
        <f aca="false">B58/COUNTA('Clean Data'!$A$2:$A$248)</f>
        <v>0.194331983805668</v>
      </c>
      <c r="D58" s="25" t="n">
        <f aca="false">IFERROR(AVERAGEIFS('Clean Data'!$N$2:$N$248,'Clean Data'!$D$2:$D$248,$A58),"")</f>
        <v>4.70833333333333</v>
      </c>
      <c r="E58" s="23" t="n">
        <f aca="false">SUMIFS('Clean Data'!$N$2:$N$248,'Clean Data'!$D$2:$D$248,$A58)</f>
        <v>226</v>
      </c>
      <c r="F58" s="24" t="n">
        <f aca="false">E58/SUM('Clean Data'!$N$2:$N$248)</f>
        <v>0.146089204912734</v>
      </c>
      <c r="G58" s="24" t="n">
        <f aca="false">IFERROR(COUNTIFS('Clean Data'!$D$2:$D$248,$A58,'Clean Data'!$P$2:$P$248,TRUE())/B58,"")</f>
        <v>0.166666666666667</v>
      </c>
      <c r="H58" s="24" t="n">
        <f aca="false">IFERROR(COUNTIFS('Clean Data'!$D$2:$D$248,$A58,'Clean Data'!$AB$2:$AB$248,TRUE())/B58,"")</f>
        <v>0.291666666666667</v>
      </c>
      <c r="I58" s="24" t="n">
        <f aca="false">IFERROR(COUNTIFS('Clean Data'!$D$2:$D$248,$A58,'Clean Data'!$Y$2:$Y$248,TRUE())/B58,"")</f>
        <v>0.270833333333333</v>
      </c>
      <c r="J58" s="23" t="n">
        <f aca="false">COUNTIFS('Clean Data'!$D$2:$D$248,$A58,'Clean Data'!$AC$2:$AC$248,"&lt;&gt;")</f>
        <v>10</v>
      </c>
      <c r="K58" s="23" t="n">
        <f aca="false">IFERROR(AVERAGEIFS('Clean Data'!$AC$2:$AC$248,'Clean Data'!$D$2:$D$248,$A58),"-")</f>
        <v>3295</v>
      </c>
      <c r="L58" s="23" t="n">
        <f aca="false">COUNTIFS('Clean Data'!$D$2:$D$248,$A58,'Clean Data'!$AH$2:$AH$248,"?*")</f>
        <v>8</v>
      </c>
    </row>
    <row r="59" customFormat="false" ht="15" hidden="false" customHeight="false" outlineLevel="0" collapsed="false">
      <c r="A59" s="22" t="s">
        <v>148</v>
      </c>
      <c r="B59" s="23" t="n">
        <f aca="false">COUNTIFS('Clean Data'!$D$2:$D$248,$A59)</f>
        <v>49</v>
      </c>
      <c r="C59" s="24" t="n">
        <f aca="false">B59/COUNTA('Clean Data'!$A$2:$A$248)</f>
        <v>0.198380566801619</v>
      </c>
      <c r="D59" s="25" t="n">
        <f aca="false">IFERROR(AVERAGEIFS('Clean Data'!$N$2:$N$248,'Clean Data'!$D$2:$D$248,$A59),"")</f>
        <v>5.59183673469388</v>
      </c>
      <c r="E59" s="23" t="n">
        <f aca="false">SUMIFS('Clean Data'!$N$2:$N$248,'Clean Data'!$D$2:$D$248,$A59)</f>
        <v>274</v>
      </c>
      <c r="F59" s="24" t="n">
        <f aca="false">E59/SUM('Clean Data'!$N$2:$N$248)</f>
        <v>0.177117000646412</v>
      </c>
      <c r="G59" s="24" t="n">
        <f aca="false">IFERROR(COUNTIFS('Clean Data'!$D$2:$D$248,$A59,'Clean Data'!$P$2:$P$248,TRUE())/B59,"")</f>
        <v>0.204081632653061</v>
      </c>
      <c r="H59" s="24" t="n">
        <f aca="false">IFERROR(COUNTIFS('Clean Data'!$D$2:$D$248,$A59,'Clean Data'!$AB$2:$AB$248,TRUE())/B59,"")</f>
        <v>0.428571428571429</v>
      </c>
      <c r="I59" s="24" t="n">
        <f aca="false">IFERROR(COUNTIFS('Clean Data'!$D$2:$D$248,$A59,'Clean Data'!$Y$2:$Y$248,TRUE())/B59,"")</f>
        <v>0.26530612244898</v>
      </c>
      <c r="J59" s="23" t="n">
        <f aca="false">COUNTIFS('Clean Data'!$D$2:$D$248,$A59,'Clean Data'!$AC$2:$AC$248,"&lt;&gt;")</f>
        <v>7</v>
      </c>
      <c r="K59" s="23" t="n">
        <f aca="false">IFERROR(AVERAGEIFS('Clean Data'!$AC$2:$AC$248,'Clean Data'!$D$2:$D$248,$A59),"-")</f>
        <v>2150.85714285714</v>
      </c>
      <c r="L59" s="23" t="n">
        <f aca="false">COUNTIFS('Clean Data'!$D$2:$D$248,$A59,'Clean Data'!$AH$2:$AH$248,"?*")</f>
        <v>3</v>
      </c>
    </row>
    <row r="60" customFormat="false" ht="15" hidden="false" customHeight="false" outlineLevel="0" collapsed="false">
      <c r="A60" s="22" t="s">
        <v>149</v>
      </c>
      <c r="B60" s="23" t="n">
        <f aca="false">COUNTIFS('Clean Data'!$D$2:$D$248,$A60)</f>
        <v>61</v>
      </c>
      <c r="C60" s="24" t="n">
        <f aca="false">B60/COUNTA('Clean Data'!$A$2:$A$248)</f>
        <v>0.246963562753036</v>
      </c>
      <c r="D60" s="25" t="n">
        <f aca="false">IFERROR(AVERAGEIFS('Clean Data'!$N$2:$N$248,'Clean Data'!$D$2:$D$248,$A60),"")</f>
        <v>6.78688524590164</v>
      </c>
      <c r="E60" s="23" t="n">
        <f aca="false">SUMIFS('Clean Data'!$N$2:$N$248,'Clean Data'!$D$2:$D$248,$A60)</f>
        <v>414</v>
      </c>
      <c r="F60" s="24" t="n">
        <f aca="false">E60/SUM('Clean Data'!$N$2:$N$248)</f>
        <v>0.267614738202974</v>
      </c>
      <c r="G60" s="24" t="n">
        <f aca="false">IFERROR(COUNTIFS('Clean Data'!$D$2:$D$248,$A60,'Clean Data'!$P$2:$P$248,TRUE())/B60,"")</f>
        <v>0.278688524590164</v>
      </c>
      <c r="H60" s="24" t="n">
        <f aca="false">IFERROR(COUNTIFS('Clean Data'!$D$2:$D$248,$A60,'Clean Data'!$AB$2:$AB$248,TRUE())/B60,"")</f>
        <v>0.377049180327869</v>
      </c>
      <c r="I60" s="24" t="n">
        <f aca="false">IFERROR(COUNTIFS('Clean Data'!$D$2:$D$248,$A60,'Clean Data'!$Y$2:$Y$248,TRUE())/B60,"")</f>
        <v>0.278688524590164</v>
      </c>
      <c r="J60" s="23" t="n">
        <f aca="false">COUNTIFS('Clean Data'!$D$2:$D$248,$A60,'Clean Data'!$AC$2:$AC$248,"&lt;&gt;")</f>
        <v>17</v>
      </c>
      <c r="K60" s="23" t="n">
        <f aca="false">IFERROR(AVERAGEIFS('Clean Data'!$AC$2:$AC$248,'Clean Data'!$D$2:$D$248,$A60),"-")</f>
        <v>2728.11764705882</v>
      </c>
      <c r="L60" s="23" t="n">
        <f aca="false">COUNTIFS('Clean Data'!$D$2:$D$248,$A60,'Clean Data'!$AH$2:$AH$248,"?*")</f>
        <v>5</v>
      </c>
    </row>
    <row r="61" customFormat="false" ht="15" hidden="false" customHeight="false" outlineLevel="0" collapsed="false">
      <c r="A61" s="22" t="s">
        <v>150</v>
      </c>
      <c r="B61" s="23" t="n">
        <f aca="false">COUNTIFS('Clean Data'!$D$2:$D$248,$A61)</f>
        <v>89</v>
      </c>
      <c r="C61" s="24" t="n">
        <f aca="false">B61/COUNTA('Clean Data'!$A$2:$A$248)</f>
        <v>0.360323886639676</v>
      </c>
      <c r="D61" s="25" t="n">
        <f aca="false">IFERROR(AVERAGEIFS('Clean Data'!$N$2:$N$248,'Clean Data'!$D$2:$D$248,$A61),"")</f>
        <v>7.1123595505618</v>
      </c>
      <c r="E61" s="23" t="n">
        <f aca="false">SUMIFS('Clean Data'!$N$2:$N$248,'Clean Data'!$D$2:$D$248,$A61)</f>
        <v>633</v>
      </c>
      <c r="F61" s="24" t="n">
        <f aca="false">E61/SUM('Clean Data'!$N$2:$N$248)</f>
        <v>0.40917905623788</v>
      </c>
      <c r="G61" s="24" t="n">
        <f aca="false">IFERROR(COUNTIFS('Clean Data'!$D$2:$D$248,$A61,'Clean Data'!$P$2:$P$248,TRUE())/B61,"")</f>
        <v>0.314606741573034</v>
      </c>
      <c r="H61" s="24" t="n">
        <f aca="false">IFERROR(COUNTIFS('Clean Data'!$D$2:$D$248,$A61,'Clean Data'!$AB$2:$AB$248,TRUE())/B61,"")</f>
        <v>0.348314606741573</v>
      </c>
      <c r="I61" s="24" t="n">
        <f aca="false">IFERROR(COUNTIFS('Clean Data'!$D$2:$D$248,$A61,'Clean Data'!$Y$2:$Y$248,TRUE())/B61,"")</f>
        <v>0.325842696629214</v>
      </c>
      <c r="J61" s="23" t="n">
        <f aca="false">COUNTIFS('Clean Data'!$D$2:$D$248,$A61,'Clean Data'!$AC$2:$AC$248,"&lt;&gt;")</f>
        <v>18</v>
      </c>
      <c r="K61" s="23" t="n">
        <f aca="false">IFERROR(AVERAGEIFS('Clean Data'!$AC$2:$AC$248,'Clean Data'!$D$2:$D$248,$A61),"-")</f>
        <v>3265.05555555556</v>
      </c>
      <c r="L61" s="23" t="n">
        <f aca="false">COUNTIFS('Clean Data'!$D$2:$D$248,$A61,'Clean Data'!$AH$2:$AH$248,"?*")</f>
        <v>8</v>
      </c>
    </row>
    <row r="62" customFormat="false" ht="15" hidden="false" customHeight="false" outlineLevel="0" collapsed="false">
      <c r="A62" s="26" t="s">
        <v>119</v>
      </c>
      <c r="B62" s="27" t="n">
        <f aca="false">SUM(B58:B61)</f>
        <v>247</v>
      </c>
      <c r="C62" s="28" t="n">
        <f aca="false">SUM(C58:C61)</f>
        <v>1</v>
      </c>
      <c r="D62" s="29" t="n">
        <f aca="false">E62/B62</f>
        <v>6.26315789473684</v>
      </c>
      <c r="E62" s="27" t="n">
        <f aca="false">SUM(E58:E61)</f>
        <v>1547</v>
      </c>
      <c r="F62" s="28" t="n">
        <f aca="false">SUM(F58:F61)</f>
        <v>1</v>
      </c>
      <c r="G62" s="30"/>
      <c r="H62" s="30"/>
      <c r="I62" s="30"/>
      <c r="J62" s="27" t="n">
        <f aca="false">SUM(J58:J61)</f>
        <v>52</v>
      </c>
      <c r="K62" s="30"/>
      <c r="L62" s="27" t="n">
        <f aca="false">SUM(L58:L61)</f>
        <v>24</v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7" t="s">
        <v>151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30" hidden="false" customHeight="true" outlineLevel="0" collapsed="false">
      <c r="A66" s="4" t="s">
        <v>152</v>
      </c>
      <c r="B66" s="4" t="s">
        <v>100</v>
      </c>
      <c r="C66" s="4" t="s">
        <v>101</v>
      </c>
      <c r="D66" s="4" t="s">
        <v>102</v>
      </c>
      <c r="E66" s="4" t="s">
        <v>103</v>
      </c>
      <c r="F66" s="4" t="s">
        <v>104</v>
      </c>
      <c r="G66" s="4" t="s">
        <v>105</v>
      </c>
      <c r="H66" s="4" t="s">
        <v>63</v>
      </c>
      <c r="I66" s="4" t="s">
        <v>73</v>
      </c>
      <c r="J66" s="4" t="s">
        <v>106</v>
      </c>
      <c r="K66" s="4" t="s">
        <v>107</v>
      </c>
      <c r="L66" s="4" t="s">
        <v>108</v>
      </c>
    </row>
    <row r="67" customFormat="false" ht="15" hidden="false" customHeight="false" outlineLevel="0" collapsed="false">
      <c r="A67" s="22" t="s">
        <v>153</v>
      </c>
      <c r="B67" s="23" t="n">
        <f aca="false">COUNTIFS('Clean Data'!$E$2:$E$248,$A67)</f>
        <v>130</v>
      </c>
      <c r="C67" s="24" t="n">
        <f aca="false">B67/COUNTA('Clean Data'!$A$2:$A$248)</f>
        <v>0.526315789473684</v>
      </c>
      <c r="D67" s="25" t="n">
        <f aca="false">IFERROR(AVERAGEIFS('Clean Data'!$N$2:$N$248,'Clean Data'!$E$2:$E$248,$A67),"")</f>
        <v>5.72307692307692</v>
      </c>
      <c r="E67" s="23" t="n">
        <f aca="false">SUMIFS('Clean Data'!$N$2:$N$248,'Clean Data'!$E$2:$E$248,$A67)</f>
        <v>744</v>
      </c>
      <c r="F67" s="24" t="n">
        <f aca="false">E67/SUM('Clean Data'!$N$2:$N$248)</f>
        <v>0.48093083387201</v>
      </c>
      <c r="G67" s="24" t="n">
        <f aca="false">IFERROR(COUNTIFS('Clean Data'!$E$2:$E$248,$A67,'Clean Data'!$P$2:$P$248,TRUE())/B67,"")</f>
        <v>0.215384615384615</v>
      </c>
      <c r="H67" s="24" t="n">
        <f aca="false">IFERROR(COUNTIFS('Clean Data'!$E$2:$E$248,$A67,'Clean Data'!$AB$2:$AB$248,TRUE())/B67,"")</f>
        <v>0.361538461538462</v>
      </c>
      <c r="I67" s="24" t="n">
        <f aca="false">IFERROR(COUNTIFS('Clean Data'!$E$2:$E$248,$A67,'Clean Data'!$Y$2:$Y$248,TRUE())/B67,"")</f>
        <v>0.292307692307692</v>
      </c>
      <c r="J67" s="23" t="n">
        <f aca="false">COUNTIFS('Clean Data'!$E$2:$E$248,$A67,'Clean Data'!$AC$2:$AC$248,"&lt;&gt;")</f>
        <v>23</v>
      </c>
      <c r="K67" s="23" t="n">
        <f aca="false">IFERROR(AVERAGEIFS('Clean Data'!$AC$2:$AC$248,'Clean Data'!$E$2:$E$248,$A67),"-")</f>
        <v>3025.30434782609</v>
      </c>
      <c r="L67" s="23" t="n">
        <f aca="false">COUNTIFS('Clean Data'!$E$2:$E$248,$A67,'Clean Data'!$AH$2:$AH$248,"?*")</f>
        <v>9</v>
      </c>
    </row>
    <row r="68" customFormat="false" ht="15" hidden="false" customHeight="false" outlineLevel="0" collapsed="false">
      <c r="A68" s="22" t="s">
        <v>154</v>
      </c>
      <c r="B68" s="23" t="n">
        <f aca="false">COUNTIFS('Clean Data'!$E$2:$E$248,$A68)</f>
        <v>117</v>
      </c>
      <c r="C68" s="24" t="n">
        <f aca="false">B68/COUNTA('Clean Data'!$A$2:$A$248)</f>
        <v>0.473684210526316</v>
      </c>
      <c r="D68" s="25" t="n">
        <f aca="false">IFERROR(AVERAGEIFS('Clean Data'!$N$2:$N$248,'Clean Data'!$E$2:$E$248,$A68),"")</f>
        <v>6.86324786324786</v>
      </c>
      <c r="E68" s="23" t="n">
        <f aca="false">SUMIFS('Clean Data'!$N$2:$N$248,'Clean Data'!$E$2:$E$248,$A68)</f>
        <v>803</v>
      </c>
      <c r="F68" s="24" t="n">
        <f aca="false">E68/SUM('Clean Data'!$N$2:$N$248)</f>
        <v>0.51906916612799</v>
      </c>
      <c r="G68" s="24" t="n">
        <f aca="false">IFERROR(COUNTIFS('Clean Data'!$E$2:$E$248,$A68,'Clean Data'!$P$2:$P$248,TRUE())/B68,"")</f>
        <v>0.299145299145299</v>
      </c>
      <c r="H68" s="24" t="n">
        <f aca="false">IFERROR(COUNTIFS('Clean Data'!$E$2:$E$248,$A68,'Clean Data'!$AB$2:$AB$248,TRUE())/B68,"")</f>
        <v>0.358974358974359</v>
      </c>
      <c r="I68" s="24" t="n">
        <f aca="false">IFERROR(COUNTIFS('Clean Data'!$E$2:$E$248,$A68,'Clean Data'!$Y$2:$Y$248,TRUE())/B68,"")</f>
        <v>0.290598290598291</v>
      </c>
      <c r="J68" s="23" t="n">
        <f aca="false">COUNTIFS('Clean Data'!$E$2:$E$248,$A68,'Clean Data'!$AC$2:$AC$248,"&lt;&gt;")</f>
        <v>29</v>
      </c>
      <c r="K68" s="23" t="n">
        <f aca="false">IFERROR(AVERAGEIFS('Clean Data'!$AC$2:$AC$248,'Clean Data'!$E$2:$E$248,$A68),"-")</f>
        <v>2881.8275862069</v>
      </c>
      <c r="L68" s="23" t="n">
        <f aca="false">COUNTIFS('Clean Data'!$E$2:$E$248,$A68,'Clean Data'!$AH$2:$AH$248,"?*")</f>
        <v>15</v>
      </c>
    </row>
    <row r="69" customFormat="false" ht="15" hidden="false" customHeight="false" outlineLevel="0" collapsed="false">
      <c r="A69" s="26" t="s">
        <v>119</v>
      </c>
      <c r="B69" s="27" t="n">
        <f aca="false">SUM(B67:B68)</f>
        <v>247</v>
      </c>
      <c r="C69" s="28" t="n">
        <f aca="false">SUM(C67:C68)</f>
        <v>1</v>
      </c>
      <c r="D69" s="29" t="n">
        <f aca="false">E69/B69</f>
        <v>6.26315789473684</v>
      </c>
      <c r="E69" s="27" t="n">
        <f aca="false">SUM(E67:E68)</f>
        <v>1547</v>
      </c>
      <c r="F69" s="28" t="n">
        <f aca="false">SUM(F67:F68)</f>
        <v>1</v>
      </c>
      <c r="G69" s="30"/>
      <c r="H69" s="30"/>
      <c r="I69" s="30"/>
      <c r="J69" s="27" t="n">
        <f aca="false">SUM(J67:J68)</f>
        <v>52</v>
      </c>
      <c r="K69" s="30"/>
      <c r="L69" s="27" t="n">
        <f aca="false">SUM(L67:L68)</f>
        <v>24</v>
      </c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7" t="s">
        <v>155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30" hidden="false" customHeight="true" outlineLevel="0" collapsed="false">
      <c r="A73" s="4" t="s">
        <v>156</v>
      </c>
      <c r="B73" s="4" t="s">
        <v>100</v>
      </c>
      <c r="C73" s="4" t="s">
        <v>101</v>
      </c>
      <c r="D73" s="4" t="s">
        <v>102</v>
      </c>
      <c r="E73" s="4" t="s">
        <v>103</v>
      </c>
      <c r="F73" s="4" t="s">
        <v>104</v>
      </c>
      <c r="G73" s="4" t="s">
        <v>105</v>
      </c>
      <c r="H73" s="4" t="s">
        <v>63</v>
      </c>
      <c r="I73" s="4" t="s">
        <v>73</v>
      </c>
      <c r="J73" s="4" t="s">
        <v>106</v>
      </c>
      <c r="K73" s="4" t="s">
        <v>107</v>
      </c>
      <c r="L73" s="4" t="s">
        <v>108</v>
      </c>
    </row>
    <row r="74" customFormat="false" ht="15" hidden="false" customHeight="false" outlineLevel="0" collapsed="false">
      <c r="A74" s="22" t="s">
        <v>157</v>
      </c>
      <c r="B74" s="23" t="n">
        <f aca="false">COUNTIFS('Clean Data'!$S$2:$S$248,$A74)</f>
        <v>24</v>
      </c>
      <c r="C74" s="24" t="n">
        <f aca="false">B74/COUNTA('Clean Data'!$A$2:$A$248)</f>
        <v>0.097165991902834</v>
      </c>
      <c r="D74" s="25" t="n">
        <f aca="false">IFERROR(AVERAGEIFS('Clean Data'!$N$2:$N$248,'Clean Data'!$S$2:$S$248,$A74),"")</f>
        <v>6.58333333333333</v>
      </c>
      <c r="E74" s="23" t="n">
        <f aca="false">SUMIFS('Clean Data'!$N$2:$N$248,'Clean Data'!$S$2:$S$248,$A74)</f>
        <v>158</v>
      </c>
      <c r="F74" s="24" t="n">
        <f aca="false">E74/SUM('Clean Data'!$N$2:$N$248)</f>
        <v>0.10213316095669</v>
      </c>
      <c r="G74" s="24" t="n">
        <f aca="false">IFERROR(COUNTIFS('Clean Data'!$S$2:$S$248,$A74,'Clean Data'!$P$2:$P$248,TRUE())/B74,"")</f>
        <v>0.25</v>
      </c>
      <c r="H74" s="24" t="n">
        <f aca="false">IFERROR(COUNTIFS('Clean Data'!$S$2:$S$248,$A74,'Clean Data'!$AB$2:$AB$248,TRUE())/B74,"")</f>
        <v>0.208333333333333</v>
      </c>
      <c r="I74" s="24" t="n">
        <f aca="false">IFERROR(COUNTIFS('Clean Data'!$S$2:$S$248,$A74,'Clean Data'!$Y$2:$Y$248,TRUE())/B74,"")</f>
        <v>0.333333333333333</v>
      </c>
      <c r="J74" s="23" t="n">
        <f aca="false">COUNTIFS('Clean Data'!$S$2:$S$248,$A74,'Clean Data'!$AC$2:$AC$248,"&lt;&gt;")</f>
        <v>4</v>
      </c>
      <c r="K74" s="23" t="n">
        <f aca="false">IFERROR(AVERAGEIFS('Clean Data'!$AC$2:$AC$248,'Clean Data'!$S$2:$S$248,$A74),"-")</f>
        <v>3856.25</v>
      </c>
      <c r="L74" s="23" t="n">
        <f aca="false">COUNTIFS('Clean Data'!$S$2:$S$248,$A74,'Clean Data'!$AH$2:$AH$248,"?*")</f>
        <v>2</v>
      </c>
    </row>
    <row r="75" customFormat="false" ht="15" hidden="false" customHeight="false" outlineLevel="0" collapsed="false">
      <c r="A75" s="22" t="s">
        <v>158</v>
      </c>
      <c r="B75" s="23" t="n">
        <f aca="false">COUNTIFS('Clean Data'!$S$2:$S$248,$A75)</f>
        <v>17</v>
      </c>
      <c r="C75" s="24" t="n">
        <f aca="false">B75/COUNTA('Clean Data'!$A$2:$A$248)</f>
        <v>0.0688259109311741</v>
      </c>
      <c r="D75" s="25" t="n">
        <f aca="false">IFERROR(AVERAGEIFS('Clean Data'!$N$2:$N$248,'Clean Data'!$S$2:$S$248,$A75),"")</f>
        <v>7.76470588235294</v>
      </c>
      <c r="E75" s="23" t="n">
        <f aca="false">SUMIFS('Clean Data'!$N$2:$N$248,'Clean Data'!$S$2:$S$248,$A75)</f>
        <v>132</v>
      </c>
      <c r="F75" s="24" t="n">
        <f aca="false">E75/SUM('Clean Data'!$N$2:$N$248)</f>
        <v>0.0853264382676147</v>
      </c>
      <c r="G75" s="24" t="n">
        <f aca="false">IFERROR(COUNTIFS('Clean Data'!$S$2:$S$248,$A75,'Clean Data'!$P$2:$P$248,TRUE())/B75,"")</f>
        <v>0.411764705882353</v>
      </c>
      <c r="H75" s="24" t="n">
        <f aca="false">IFERROR(COUNTIFS('Clean Data'!$S$2:$S$248,$A75,'Clean Data'!$AB$2:$AB$248,TRUE())/B75,"")</f>
        <v>0.352941176470588</v>
      </c>
      <c r="I75" s="24" t="n">
        <f aca="false">IFERROR(COUNTIFS('Clean Data'!$S$2:$S$248,$A75,'Clean Data'!$Y$2:$Y$248,TRUE())/B75,"")</f>
        <v>0</v>
      </c>
      <c r="J75" s="23" t="n">
        <f aca="false">COUNTIFS('Clean Data'!$S$2:$S$248,$A75,'Clean Data'!$AC$2:$AC$248,"&lt;&gt;")</f>
        <v>6</v>
      </c>
      <c r="K75" s="23" t="n">
        <f aca="false">IFERROR(AVERAGEIFS('Clean Data'!$AC$2:$AC$248,'Clean Data'!$S$2:$S$248,$A75),"-")</f>
        <v>2962</v>
      </c>
      <c r="L75" s="23" t="n">
        <f aca="false">COUNTIFS('Clean Data'!$S$2:$S$248,$A75,'Clean Data'!$AH$2:$AH$248,"?*")</f>
        <v>2</v>
      </c>
    </row>
    <row r="76" customFormat="false" ht="15" hidden="false" customHeight="false" outlineLevel="0" collapsed="false">
      <c r="A76" s="22" t="s">
        <v>159</v>
      </c>
      <c r="B76" s="23" t="n">
        <f aca="false">COUNTIFS('Clean Data'!$S$2:$S$248,$A76)</f>
        <v>19</v>
      </c>
      <c r="C76" s="24" t="n">
        <f aca="false">B76/COUNTA('Clean Data'!$A$2:$A$248)</f>
        <v>0.0769230769230769</v>
      </c>
      <c r="D76" s="25" t="n">
        <f aca="false">IFERROR(AVERAGEIFS('Clean Data'!$N$2:$N$248,'Clean Data'!$S$2:$S$248,$A76),"")</f>
        <v>5.89473684210526</v>
      </c>
      <c r="E76" s="23" t="n">
        <f aca="false">SUMIFS('Clean Data'!$N$2:$N$248,'Clean Data'!$S$2:$S$248,$A76)</f>
        <v>112</v>
      </c>
      <c r="F76" s="24" t="n">
        <f aca="false">E76/SUM('Clean Data'!$N$2:$N$248)</f>
        <v>0.0723981900452489</v>
      </c>
      <c r="G76" s="24" t="n">
        <f aca="false">IFERROR(COUNTIFS('Clean Data'!$S$2:$S$248,$A76,'Clean Data'!$P$2:$P$248,TRUE())/B76,"")</f>
        <v>0.157894736842105</v>
      </c>
      <c r="H76" s="24" t="n">
        <f aca="false">IFERROR(COUNTIFS('Clean Data'!$S$2:$S$248,$A76,'Clean Data'!$AB$2:$AB$248,TRUE())/B76,"")</f>
        <v>0.421052631578947</v>
      </c>
      <c r="I76" s="24" t="n">
        <f aca="false">IFERROR(COUNTIFS('Clean Data'!$S$2:$S$248,$A76,'Clean Data'!$Y$2:$Y$248,TRUE())/B76,"")</f>
        <v>0.315789473684211</v>
      </c>
      <c r="J76" s="23" t="n">
        <f aca="false">COUNTIFS('Clean Data'!$S$2:$S$248,$A76,'Clean Data'!$AC$2:$AC$248,"&lt;&gt;")</f>
        <v>3</v>
      </c>
      <c r="K76" s="23" t="n">
        <f aca="false">IFERROR(AVERAGEIFS('Clean Data'!$AC$2:$AC$248,'Clean Data'!$S$2:$S$248,$A76),"-")</f>
        <v>4177</v>
      </c>
      <c r="L76" s="23" t="n">
        <f aca="false">COUNTIFS('Clean Data'!$S$2:$S$248,$A76,'Clean Data'!$AH$2:$AH$248,"?*")</f>
        <v>1</v>
      </c>
    </row>
    <row r="77" customFormat="false" ht="15" hidden="false" customHeight="false" outlineLevel="0" collapsed="false">
      <c r="A77" s="22" t="s">
        <v>160</v>
      </c>
      <c r="B77" s="23" t="n">
        <f aca="false">COUNTIFS('Clean Data'!$S$2:$S$248,$A77)</f>
        <v>17</v>
      </c>
      <c r="C77" s="24" t="n">
        <f aca="false">B77/COUNTA('Clean Data'!$A$2:$A$248)</f>
        <v>0.0688259109311741</v>
      </c>
      <c r="D77" s="25" t="n">
        <f aca="false">IFERROR(AVERAGEIFS('Clean Data'!$N$2:$N$248,'Clean Data'!$S$2:$S$248,$A77),"")</f>
        <v>7.17647058823529</v>
      </c>
      <c r="E77" s="23" t="n">
        <f aca="false">SUMIFS('Clean Data'!$N$2:$N$248,'Clean Data'!$S$2:$S$248,$A77)</f>
        <v>122</v>
      </c>
      <c r="F77" s="24" t="n">
        <f aca="false">E77/SUM('Clean Data'!$N$2:$N$248)</f>
        <v>0.0788623141564318</v>
      </c>
      <c r="G77" s="24" t="n">
        <f aca="false">IFERROR(COUNTIFS('Clean Data'!$S$2:$S$248,$A77,'Clean Data'!$P$2:$P$248,TRUE())/B77,"")</f>
        <v>0.352941176470588</v>
      </c>
      <c r="H77" s="24" t="n">
        <f aca="false">IFERROR(COUNTIFS('Clean Data'!$S$2:$S$248,$A77,'Clean Data'!$AB$2:$AB$248,TRUE())/B77,"")</f>
        <v>0.470588235294118</v>
      </c>
      <c r="I77" s="24" t="n">
        <f aca="false">IFERROR(COUNTIFS('Clean Data'!$S$2:$S$248,$A77,'Clean Data'!$Y$2:$Y$248,TRUE())/B77,"")</f>
        <v>0.235294117647059</v>
      </c>
      <c r="J77" s="23" t="n">
        <f aca="false">COUNTIFS('Clean Data'!$S$2:$S$248,$A77,'Clean Data'!$AC$2:$AC$248,"&lt;&gt;")</f>
        <v>5</v>
      </c>
      <c r="K77" s="23" t="n">
        <f aca="false">IFERROR(AVERAGEIFS('Clean Data'!$AC$2:$AC$248,'Clean Data'!$S$2:$S$248,$A77),"-")</f>
        <v>2751.4</v>
      </c>
      <c r="L77" s="23" t="n">
        <f aca="false">COUNTIFS('Clean Data'!$S$2:$S$248,$A77,'Clean Data'!$AH$2:$AH$248,"?*")</f>
        <v>2</v>
      </c>
    </row>
    <row r="78" customFormat="false" ht="15" hidden="false" customHeight="false" outlineLevel="0" collapsed="false">
      <c r="A78" s="22" t="s">
        <v>161</v>
      </c>
      <c r="B78" s="23" t="n">
        <f aca="false">COUNTIFS('Clean Data'!$S$2:$S$248,$A78)</f>
        <v>32</v>
      </c>
      <c r="C78" s="24" t="n">
        <f aca="false">B78/COUNTA('Clean Data'!$A$2:$A$248)</f>
        <v>0.129554655870445</v>
      </c>
      <c r="D78" s="25" t="n">
        <f aca="false">IFERROR(AVERAGEIFS('Clean Data'!$N$2:$N$248,'Clean Data'!$S$2:$S$248,$A78),"")</f>
        <v>7.34375</v>
      </c>
      <c r="E78" s="23" t="n">
        <f aca="false">SUMIFS('Clean Data'!$N$2:$N$248,'Clean Data'!$S$2:$S$248,$A78)</f>
        <v>235</v>
      </c>
      <c r="F78" s="24" t="n">
        <f aca="false">E78/SUM('Clean Data'!$N$2:$N$248)</f>
        <v>0.151906916612799</v>
      </c>
      <c r="G78" s="24" t="n">
        <f aca="false">IFERROR(COUNTIFS('Clean Data'!$S$2:$S$248,$A78,'Clean Data'!$P$2:$P$248,TRUE())/B78,"")</f>
        <v>0.3125</v>
      </c>
      <c r="H78" s="24" t="n">
        <f aca="false">IFERROR(COUNTIFS('Clean Data'!$S$2:$S$248,$A78,'Clean Data'!$AB$2:$AB$248,TRUE())/B78,"")</f>
        <v>0.375</v>
      </c>
      <c r="I78" s="24" t="n">
        <f aca="false">IFERROR(COUNTIFS('Clean Data'!$S$2:$S$248,$A78,'Clean Data'!$Y$2:$Y$248,TRUE())/B78,"")</f>
        <v>0.3125</v>
      </c>
      <c r="J78" s="23" t="n">
        <f aca="false">COUNTIFS('Clean Data'!$S$2:$S$248,$A78,'Clean Data'!$AC$2:$AC$248,"&lt;&gt;")</f>
        <v>6</v>
      </c>
      <c r="K78" s="23" t="n">
        <f aca="false">IFERROR(AVERAGEIFS('Clean Data'!$AC$2:$AC$248,'Clean Data'!$S$2:$S$248,$A78),"-")</f>
        <v>2899.16666666667</v>
      </c>
      <c r="L78" s="23" t="n">
        <f aca="false">COUNTIFS('Clean Data'!$S$2:$S$248,$A78,'Clean Data'!$AH$2:$AH$248,"?*")</f>
        <v>4</v>
      </c>
    </row>
    <row r="79" customFormat="false" ht="15" hidden="false" customHeight="false" outlineLevel="0" collapsed="false">
      <c r="A79" s="22" t="s">
        <v>162</v>
      </c>
      <c r="B79" s="23" t="n">
        <f aca="false">COUNTIFS('Clean Data'!$S$2:$S$248,$A79)</f>
        <v>21</v>
      </c>
      <c r="C79" s="24" t="n">
        <f aca="false">B79/COUNTA('Clean Data'!$A$2:$A$248)</f>
        <v>0.0850202429149798</v>
      </c>
      <c r="D79" s="25" t="n">
        <f aca="false">IFERROR(AVERAGEIFS('Clean Data'!$N$2:$N$248,'Clean Data'!$S$2:$S$248,$A79),"")</f>
        <v>4.33333333333333</v>
      </c>
      <c r="E79" s="23" t="n">
        <f aca="false">SUMIFS('Clean Data'!$N$2:$N$248,'Clean Data'!$S$2:$S$248,$A79)</f>
        <v>91</v>
      </c>
      <c r="F79" s="24" t="n">
        <f aca="false">E79/SUM('Clean Data'!$N$2:$N$248)</f>
        <v>0.0588235294117647</v>
      </c>
      <c r="G79" s="24" t="n">
        <f aca="false">IFERROR(COUNTIFS('Clean Data'!$S$2:$S$248,$A79,'Clean Data'!$P$2:$P$248,TRUE())/B79,"")</f>
        <v>0.142857142857143</v>
      </c>
      <c r="H79" s="24" t="n">
        <f aca="false">IFERROR(COUNTIFS('Clean Data'!$S$2:$S$248,$A79,'Clean Data'!$AB$2:$AB$248,TRUE())/B79,"")</f>
        <v>0.476190476190476</v>
      </c>
      <c r="I79" s="24" t="n">
        <f aca="false">IFERROR(COUNTIFS('Clean Data'!$S$2:$S$248,$A79,'Clean Data'!$Y$2:$Y$248,TRUE())/B79,"")</f>
        <v>0.142857142857143</v>
      </c>
      <c r="J79" s="23" t="n">
        <f aca="false">COUNTIFS('Clean Data'!$S$2:$S$248,$A79,'Clean Data'!$AC$2:$AC$248,"&lt;&gt;")</f>
        <v>9</v>
      </c>
      <c r="K79" s="23" t="n">
        <f aca="false">IFERROR(AVERAGEIFS('Clean Data'!$AC$2:$AC$248,'Clean Data'!$S$2:$S$248,$A79),"-")</f>
        <v>1902.66666666667</v>
      </c>
      <c r="L79" s="23" t="n">
        <f aca="false">COUNTIFS('Clean Data'!$S$2:$S$248,$A79,'Clean Data'!$AH$2:$AH$248,"?*")</f>
        <v>1</v>
      </c>
    </row>
    <row r="80" customFormat="false" ht="15" hidden="false" customHeight="false" outlineLevel="0" collapsed="false">
      <c r="A80" s="22" t="s">
        <v>163</v>
      </c>
      <c r="B80" s="23" t="n">
        <f aca="false">COUNTIFS('Clean Data'!$S$2:$S$248,$A80)</f>
        <v>21</v>
      </c>
      <c r="C80" s="24" t="n">
        <f aca="false">B80/COUNTA('Clean Data'!$A$2:$A$248)</f>
        <v>0.0850202429149798</v>
      </c>
      <c r="D80" s="25" t="n">
        <f aca="false">IFERROR(AVERAGEIFS('Clean Data'!$N$2:$N$248,'Clean Data'!$S$2:$S$248,$A80),"")</f>
        <v>5.33333333333333</v>
      </c>
      <c r="E80" s="23" t="n">
        <f aca="false">SUMIFS('Clean Data'!$N$2:$N$248,'Clean Data'!$S$2:$S$248,$A80)</f>
        <v>112</v>
      </c>
      <c r="F80" s="24" t="n">
        <f aca="false">E80/SUM('Clean Data'!$N$2:$N$248)</f>
        <v>0.0723981900452489</v>
      </c>
      <c r="G80" s="24" t="n">
        <f aca="false">IFERROR(COUNTIFS('Clean Data'!$S$2:$S$248,$A80,'Clean Data'!$P$2:$P$248,TRUE())/B80,"")</f>
        <v>0.142857142857143</v>
      </c>
      <c r="H80" s="24" t="n">
        <f aca="false">IFERROR(COUNTIFS('Clean Data'!$S$2:$S$248,$A80,'Clean Data'!$AB$2:$AB$248,TRUE())/B80,"")</f>
        <v>0.285714285714286</v>
      </c>
      <c r="I80" s="24" t="n">
        <f aca="false">IFERROR(COUNTIFS('Clean Data'!$S$2:$S$248,$A80,'Clean Data'!$Y$2:$Y$248,TRUE())/B80,"")</f>
        <v>0.285714285714286</v>
      </c>
      <c r="J80" s="23" t="n">
        <f aca="false">COUNTIFS('Clean Data'!$S$2:$S$248,$A80,'Clean Data'!$AC$2:$AC$248,"&lt;&gt;")</f>
        <v>1</v>
      </c>
      <c r="K80" s="23" t="n">
        <f aca="false">IFERROR(AVERAGEIFS('Clean Data'!$AC$2:$AC$248,'Clean Data'!$S$2:$S$248,$A80),"-")</f>
        <v>1262</v>
      </c>
      <c r="L80" s="23" t="n">
        <f aca="false">COUNTIFS('Clean Data'!$S$2:$S$248,$A80,'Clean Data'!$AH$2:$AH$248,"?*")</f>
        <v>2</v>
      </c>
    </row>
    <row r="81" customFormat="false" ht="15" hidden="false" customHeight="false" outlineLevel="0" collapsed="false">
      <c r="A81" s="22" t="s">
        <v>164</v>
      </c>
      <c r="B81" s="23" t="n">
        <f aca="false">COUNTIFS('Clean Data'!$S$2:$S$248,$A81)</f>
        <v>10</v>
      </c>
      <c r="C81" s="24" t="n">
        <f aca="false">B81/COUNTA('Clean Data'!$A$2:$A$248)</f>
        <v>0.0404858299595142</v>
      </c>
      <c r="D81" s="25" t="n">
        <f aca="false">IFERROR(AVERAGEIFS('Clean Data'!$N$2:$N$248,'Clean Data'!$S$2:$S$248,$A81),"")</f>
        <v>8.1</v>
      </c>
      <c r="E81" s="23" t="n">
        <f aca="false">SUMIFS('Clean Data'!$N$2:$N$248,'Clean Data'!$S$2:$S$248,$A81)</f>
        <v>81</v>
      </c>
      <c r="F81" s="24" t="n">
        <f aca="false">E81/SUM('Clean Data'!$N$2:$N$248)</f>
        <v>0.0523594053005818</v>
      </c>
      <c r="G81" s="24" t="n">
        <f aca="false">IFERROR(COUNTIFS('Clean Data'!$S$2:$S$248,$A81,'Clean Data'!$P$2:$P$248,TRUE())/B81,"")</f>
        <v>0.3</v>
      </c>
      <c r="H81" s="24" t="n">
        <f aca="false">IFERROR(COUNTIFS('Clean Data'!$S$2:$S$248,$A81,'Clean Data'!$AB$2:$AB$248,TRUE())/B81,"")</f>
        <v>0.5</v>
      </c>
      <c r="I81" s="24" t="n">
        <f aca="false">IFERROR(COUNTIFS('Clean Data'!$S$2:$S$248,$A81,'Clean Data'!$Y$2:$Y$248,TRUE())/B81,"")</f>
        <v>0.5</v>
      </c>
      <c r="J81" s="23" t="n">
        <f aca="false">COUNTIFS('Clean Data'!$S$2:$S$248,$A81,'Clean Data'!$AC$2:$AC$248,"&lt;&gt;")</f>
        <v>1</v>
      </c>
      <c r="K81" s="23" t="n">
        <f aca="false">IFERROR(AVERAGEIFS('Clean Data'!$AC$2:$AC$248,'Clean Data'!$S$2:$S$248,$A81),"-")</f>
        <v>3630</v>
      </c>
      <c r="L81" s="23" t="n">
        <f aca="false">COUNTIFS('Clean Data'!$S$2:$S$248,$A81,'Clean Data'!$AH$2:$AH$248,"?*")</f>
        <v>4</v>
      </c>
    </row>
    <row r="82" customFormat="false" ht="15" hidden="false" customHeight="false" outlineLevel="0" collapsed="false">
      <c r="A82" s="22" t="s">
        <v>165</v>
      </c>
      <c r="B82" s="23" t="n">
        <f aca="false">COUNTIFS('Clean Data'!$S$2:$S$248,$A82)</f>
        <v>15</v>
      </c>
      <c r="C82" s="24" t="n">
        <f aca="false">B82/COUNTA('Clean Data'!$A$2:$A$248)</f>
        <v>0.0607287449392713</v>
      </c>
      <c r="D82" s="25" t="n">
        <f aca="false">IFERROR(AVERAGEIFS('Clean Data'!$N$2:$N$248,'Clean Data'!$S$2:$S$248,$A82),"")</f>
        <v>6.26666666666667</v>
      </c>
      <c r="E82" s="23" t="n">
        <f aca="false">SUMIFS('Clean Data'!$N$2:$N$248,'Clean Data'!$S$2:$S$248,$A82)</f>
        <v>94</v>
      </c>
      <c r="F82" s="24" t="n">
        <f aca="false">E82/SUM('Clean Data'!$N$2:$N$248)</f>
        <v>0.0607627666451196</v>
      </c>
      <c r="G82" s="24" t="n">
        <f aca="false">IFERROR(COUNTIFS('Clean Data'!$S$2:$S$248,$A82,'Clean Data'!$P$2:$P$248,TRUE())/B82,"")</f>
        <v>0.2</v>
      </c>
      <c r="H82" s="24" t="n">
        <f aca="false">IFERROR(COUNTIFS('Clean Data'!$S$2:$S$248,$A82,'Clean Data'!$AB$2:$AB$248,TRUE())/B82,"")</f>
        <v>0.533333333333333</v>
      </c>
      <c r="I82" s="24" t="n">
        <f aca="false">IFERROR(COUNTIFS('Clean Data'!$S$2:$S$248,$A82,'Clean Data'!$Y$2:$Y$248,TRUE())/B82,"")</f>
        <v>0.4</v>
      </c>
      <c r="J82" s="23" t="n">
        <f aca="false">COUNTIFS('Clean Data'!$S$2:$S$248,$A82,'Clean Data'!$AC$2:$AC$248,"&lt;&gt;")</f>
        <v>4</v>
      </c>
      <c r="K82" s="23" t="n">
        <f aca="false">IFERROR(AVERAGEIFS('Clean Data'!$AC$2:$AC$248,'Clean Data'!$S$2:$S$248,$A82),"-")</f>
        <v>2231.5</v>
      </c>
      <c r="L82" s="23" t="n">
        <f aca="false">COUNTIFS('Clean Data'!$S$2:$S$248,$A82,'Clean Data'!$AH$2:$AH$248,"?*")</f>
        <v>0</v>
      </c>
    </row>
    <row r="83" customFormat="false" ht="15" hidden="false" customHeight="false" outlineLevel="0" collapsed="false">
      <c r="A83" s="22" t="s">
        <v>166</v>
      </c>
      <c r="B83" s="23" t="n">
        <f aca="false">COUNTIFS('Clean Data'!$S$2:$S$248,$A83)</f>
        <v>28</v>
      </c>
      <c r="C83" s="24" t="n">
        <f aca="false">B83/COUNTA('Clean Data'!$A$2:$A$248)</f>
        <v>0.11336032388664</v>
      </c>
      <c r="D83" s="25" t="n">
        <f aca="false">IFERROR(AVERAGEIFS('Clean Data'!$N$2:$N$248,'Clean Data'!$S$2:$S$248,$A83),"")</f>
        <v>6.14285714285714</v>
      </c>
      <c r="E83" s="23" t="n">
        <f aca="false">SUMIFS('Clean Data'!$N$2:$N$248,'Clean Data'!$S$2:$S$248,$A83)</f>
        <v>172</v>
      </c>
      <c r="F83" s="24" t="n">
        <f aca="false">E83/SUM('Clean Data'!$N$2:$N$248)</f>
        <v>0.111182934712346</v>
      </c>
      <c r="G83" s="24" t="n">
        <f aca="false">IFERROR(COUNTIFS('Clean Data'!$S$2:$S$248,$A83,'Clean Data'!$P$2:$P$248,TRUE())/B83,"")</f>
        <v>0.285714285714286</v>
      </c>
      <c r="H83" s="24" t="n">
        <f aca="false">IFERROR(COUNTIFS('Clean Data'!$S$2:$S$248,$A83,'Clean Data'!$AB$2:$AB$248,TRUE())/B83,"")</f>
        <v>0.392857142857143</v>
      </c>
      <c r="I83" s="24" t="n">
        <f aca="false">IFERROR(COUNTIFS('Clean Data'!$S$2:$S$248,$A83,'Clean Data'!$Y$2:$Y$248,TRUE())/B83,"")</f>
        <v>0.25</v>
      </c>
      <c r="J83" s="23" t="n">
        <f aca="false">COUNTIFS('Clean Data'!$S$2:$S$248,$A83,'Clean Data'!$AC$2:$AC$248,"&lt;&gt;")</f>
        <v>7</v>
      </c>
      <c r="K83" s="23" t="n">
        <f aca="false">IFERROR(AVERAGEIFS('Clean Data'!$AC$2:$AC$248,'Clean Data'!$S$2:$S$248,$A83),"-")</f>
        <v>2611.57142857143</v>
      </c>
      <c r="L83" s="23" t="n">
        <f aca="false">COUNTIFS('Clean Data'!$S$2:$S$248,$A83,'Clean Data'!$AH$2:$AH$248,"?*")</f>
        <v>2</v>
      </c>
    </row>
    <row r="84" customFormat="false" ht="15" hidden="false" customHeight="false" outlineLevel="0" collapsed="false">
      <c r="A84" s="22" t="s">
        <v>167</v>
      </c>
      <c r="B84" s="23" t="n">
        <f aca="false">COUNTIFS('Clean Data'!$S$2:$S$248,$A84)</f>
        <v>19</v>
      </c>
      <c r="C84" s="24" t="n">
        <f aca="false">B84/COUNTA('Clean Data'!$A$2:$A$248)</f>
        <v>0.0769230769230769</v>
      </c>
      <c r="D84" s="25" t="n">
        <f aca="false">IFERROR(AVERAGEIFS('Clean Data'!$N$2:$N$248,'Clean Data'!$S$2:$S$248,$A84),"")</f>
        <v>6.05263157894737</v>
      </c>
      <c r="E84" s="23" t="n">
        <f aca="false">SUMIFS('Clean Data'!$N$2:$N$248,'Clean Data'!$S$2:$S$248,$A84)</f>
        <v>115</v>
      </c>
      <c r="F84" s="24" t="n">
        <f aca="false">E84/SUM('Clean Data'!$N$2:$N$248)</f>
        <v>0.0743374272786038</v>
      </c>
      <c r="G84" s="24" t="n">
        <f aca="false">IFERROR(COUNTIFS('Clean Data'!$S$2:$S$248,$A84,'Clean Data'!$P$2:$P$248,TRUE())/B84,"")</f>
        <v>0.315789473684211</v>
      </c>
      <c r="H84" s="24" t="n">
        <f aca="false">IFERROR(COUNTIFS('Clean Data'!$S$2:$S$248,$A84,'Clean Data'!$AB$2:$AB$248,TRUE())/B84,"")</f>
        <v>0.157894736842105</v>
      </c>
      <c r="I84" s="24" t="n">
        <f aca="false">IFERROR(COUNTIFS('Clean Data'!$S$2:$S$248,$A84,'Clean Data'!$Y$2:$Y$248,TRUE())/B84,"")</f>
        <v>0.315789473684211</v>
      </c>
      <c r="J84" s="23" t="n">
        <f aca="false">COUNTIFS('Clean Data'!$S$2:$S$248,$A84,'Clean Data'!$AC$2:$AC$248,"&lt;&gt;")</f>
        <v>4</v>
      </c>
      <c r="K84" s="23" t="n">
        <f aca="false">IFERROR(AVERAGEIFS('Clean Data'!$AC$2:$AC$248,'Clean Data'!$S$2:$S$248,$A84),"-")</f>
        <v>4303</v>
      </c>
      <c r="L84" s="23" t="n">
        <f aca="false">COUNTIFS('Clean Data'!$S$2:$S$248,$A84,'Clean Data'!$AH$2:$AH$248,"?*")</f>
        <v>3</v>
      </c>
    </row>
    <row r="85" customFormat="false" ht="15" hidden="false" customHeight="false" outlineLevel="0" collapsed="false">
      <c r="A85" s="22" t="s">
        <v>168</v>
      </c>
      <c r="B85" s="23" t="n">
        <f aca="false">COUNTIFS('Clean Data'!$S$2:$S$248,$A85)</f>
        <v>24</v>
      </c>
      <c r="C85" s="24" t="n">
        <f aca="false">B85/COUNTA('Clean Data'!$A$2:$A$248)</f>
        <v>0.097165991902834</v>
      </c>
      <c r="D85" s="25" t="n">
        <f aca="false">IFERROR(AVERAGEIFS('Clean Data'!$N$2:$N$248,'Clean Data'!$S$2:$S$248,$A85),"")</f>
        <v>5.125</v>
      </c>
      <c r="E85" s="23" t="n">
        <f aca="false">SUMIFS('Clean Data'!$N$2:$N$248,'Clean Data'!$S$2:$S$248,$A85)</f>
        <v>123</v>
      </c>
      <c r="F85" s="24" t="n">
        <f aca="false">E85/SUM('Clean Data'!$N$2:$N$248)</f>
        <v>0.0795087265675501</v>
      </c>
      <c r="G85" s="24" t="n">
        <f aca="false">IFERROR(COUNTIFS('Clean Data'!$S$2:$S$248,$A85,'Clean Data'!$P$2:$P$248,TRUE())/B85,"")</f>
        <v>0.208333333333333</v>
      </c>
      <c r="H85" s="24" t="n">
        <f aca="false">IFERROR(COUNTIFS('Clean Data'!$S$2:$S$248,$A85,'Clean Data'!$AB$2:$AB$248,TRUE())/B85,"")</f>
        <v>0.291666666666667</v>
      </c>
      <c r="I85" s="24" t="n">
        <f aca="false">IFERROR(COUNTIFS('Clean Data'!$S$2:$S$248,$A85,'Clean Data'!$Y$2:$Y$248,TRUE())/B85,"")</f>
        <v>0.458333333333333</v>
      </c>
      <c r="J85" s="23" t="n">
        <f aca="false">COUNTIFS('Clean Data'!$S$2:$S$248,$A85,'Clean Data'!$AC$2:$AC$248,"&lt;&gt;")</f>
        <v>2</v>
      </c>
      <c r="K85" s="23" t="n">
        <f aca="false">IFERROR(AVERAGEIFS('Clean Data'!$AC$2:$AC$248,'Clean Data'!$S$2:$S$248,$A85),"-")</f>
        <v>4920</v>
      </c>
      <c r="L85" s="23" t="n">
        <f aca="false">COUNTIFS('Clean Data'!$S$2:$S$248,$A85,'Clean Data'!$AH$2:$AH$248,"?*")</f>
        <v>1</v>
      </c>
    </row>
    <row r="86" customFormat="false" ht="15" hidden="false" customHeight="false" outlineLevel="0" collapsed="false">
      <c r="A86" s="26" t="s">
        <v>119</v>
      </c>
      <c r="B86" s="27" t="n">
        <f aca="false">SUM(B74:B85)</f>
        <v>247</v>
      </c>
      <c r="C86" s="28" t="n">
        <f aca="false">SUM(C74:C85)</f>
        <v>1</v>
      </c>
      <c r="D86" s="29" t="n">
        <f aca="false">E86/B86</f>
        <v>6.26315789473684</v>
      </c>
      <c r="E86" s="27" t="n">
        <f aca="false">SUM(E74:E85)</f>
        <v>1547</v>
      </c>
      <c r="F86" s="28" t="n">
        <f aca="false">SUM(F74:F85)</f>
        <v>1</v>
      </c>
      <c r="G86" s="30"/>
      <c r="H86" s="30"/>
      <c r="I86" s="30"/>
      <c r="J86" s="27" t="n">
        <f aca="false">SUM(J74:J85)</f>
        <v>52</v>
      </c>
      <c r="K86" s="30"/>
      <c r="L86" s="27" t="n">
        <f aca="false">SUM(L74:L85)</f>
        <v>24</v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7" t="s">
        <v>169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customFormat="false" ht="30" hidden="false" customHeight="true" outlineLevel="0" collapsed="false">
      <c r="A90" s="4" t="s">
        <v>170</v>
      </c>
      <c r="B90" s="4" t="s">
        <v>100</v>
      </c>
      <c r="C90" s="4" t="s">
        <v>101</v>
      </c>
      <c r="D90" s="4" t="s">
        <v>102</v>
      </c>
      <c r="E90" s="4" t="s">
        <v>103</v>
      </c>
      <c r="F90" s="4" t="s">
        <v>104</v>
      </c>
      <c r="G90" s="4" t="s">
        <v>105</v>
      </c>
      <c r="H90" s="4" t="s">
        <v>63</v>
      </c>
      <c r="I90" s="4" t="s">
        <v>73</v>
      </c>
      <c r="J90" s="4" t="s">
        <v>106</v>
      </c>
      <c r="K90" s="4" t="s">
        <v>107</v>
      </c>
      <c r="L90" s="4" t="s">
        <v>108</v>
      </c>
    </row>
    <row r="91" customFormat="false" ht="15" hidden="false" customHeight="false" outlineLevel="0" collapsed="false">
      <c r="A91" s="22" t="s">
        <v>171</v>
      </c>
      <c r="B91" s="23" t="n">
        <f aca="false">COUNTIFS('Clean Data'!$U$2:$U$248,$A91)</f>
        <v>28</v>
      </c>
      <c r="C91" s="24" t="n">
        <f aca="false">B91/COUNTA('Clean Data'!$A$2:$A$248)</f>
        <v>0.11336032388664</v>
      </c>
      <c r="D91" s="25" t="n">
        <f aca="false">IFERROR(AVERAGEIFS('Clean Data'!$N$2:$N$248,'Clean Data'!$U$2:$U$248,$A91),"")</f>
        <v>5.67857142857143</v>
      </c>
      <c r="E91" s="23" t="n">
        <f aca="false">SUMIFS('Clean Data'!$N$2:$N$248,'Clean Data'!$U$2:$U$248,$A91)</f>
        <v>159</v>
      </c>
      <c r="F91" s="24" t="n">
        <f aca="false">E91/SUM('Clean Data'!$N$2:$N$248)</f>
        <v>0.102779573367809</v>
      </c>
      <c r="G91" s="24" t="n">
        <f aca="false">IFERROR(COUNTIFS('Clean Data'!$U$2:$U$248,$A91,'Clean Data'!$P$2:$P$248,TRUE())/B91,"")</f>
        <v>0.178571428571429</v>
      </c>
      <c r="H91" s="24" t="n">
        <f aca="false">IFERROR(COUNTIFS('Clean Data'!$U$2:$U$248,$A91,'Clean Data'!$AB$2:$AB$248,TRUE())/B91,"")</f>
        <v>0.392857142857143</v>
      </c>
      <c r="I91" s="24" t="n">
        <f aca="false">IFERROR(COUNTIFS('Clean Data'!$U$2:$U$248,$A91,'Clean Data'!$Y$2:$Y$248,TRUE())/B91,"")</f>
        <v>0.214285714285714</v>
      </c>
      <c r="J91" s="23" t="n">
        <f aca="false">COUNTIFS('Clean Data'!$U$2:$U$248,$A91,'Clean Data'!$AC$2:$AC$248,"&lt;&gt;")</f>
        <v>7</v>
      </c>
      <c r="K91" s="23" t="n">
        <f aca="false">IFERROR(AVERAGEIFS('Clean Data'!$AC$2:$AC$248,'Clean Data'!$U$2:$U$248,$A91),"-")</f>
        <v>2562</v>
      </c>
      <c r="L91" s="23" t="n">
        <f aca="false">COUNTIFS('Clean Data'!$U$2:$U$248,$A91,'Clean Data'!$AH$2:$AH$248,"?*")</f>
        <v>2</v>
      </c>
    </row>
    <row r="92" customFormat="false" ht="15" hidden="false" customHeight="false" outlineLevel="0" collapsed="false">
      <c r="A92" s="22" t="s">
        <v>172</v>
      </c>
      <c r="B92" s="23" t="n">
        <f aca="false">COUNTIFS('Clean Data'!$U$2:$U$248,$A92)</f>
        <v>34</v>
      </c>
      <c r="C92" s="24" t="n">
        <f aca="false">B92/COUNTA('Clean Data'!$A$2:$A$248)</f>
        <v>0.137651821862348</v>
      </c>
      <c r="D92" s="25" t="n">
        <f aca="false">IFERROR(AVERAGEIFS('Clean Data'!$N$2:$N$248,'Clean Data'!$U$2:$U$248,$A92),"")</f>
        <v>7.29411764705882</v>
      </c>
      <c r="E92" s="23" t="n">
        <f aca="false">SUMIFS('Clean Data'!$N$2:$N$248,'Clean Data'!$U$2:$U$248,$A92)</f>
        <v>248</v>
      </c>
      <c r="F92" s="24" t="n">
        <f aca="false">E92/SUM('Clean Data'!$N$2:$N$248)</f>
        <v>0.160310277957337</v>
      </c>
      <c r="G92" s="24" t="n">
        <f aca="false">IFERROR(COUNTIFS('Clean Data'!$U$2:$U$248,$A92,'Clean Data'!$P$2:$P$248,TRUE())/B92,"")</f>
        <v>0.294117647058824</v>
      </c>
      <c r="H92" s="24" t="n">
        <f aca="false">IFERROR(COUNTIFS('Clean Data'!$U$2:$U$248,$A92,'Clean Data'!$AB$2:$AB$248,TRUE())/B92,"")</f>
        <v>0.441176470588235</v>
      </c>
      <c r="I92" s="24" t="n">
        <f aca="false">IFERROR(COUNTIFS('Clean Data'!$U$2:$U$248,$A92,'Clean Data'!$Y$2:$Y$248,TRUE())/B92,"")</f>
        <v>0.382352941176471</v>
      </c>
      <c r="J92" s="23" t="n">
        <f aca="false">COUNTIFS('Clean Data'!$U$2:$U$248,$A92,'Clean Data'!$AC$2:$AC$248,"&lt;&gt;")</f>
        <v>7</v>
      </c>
      <c r="K92" s="23" t="n">
        <f aca="false">IFERROR(AVERAGEIFS('Clean Data'!$AC$2:$AC$248,'Clean Data'!$U$2:$U$248,$A92),"-")</f>
        <v>3047.28571428571</v>
      </c>
      <c r="L92" s="23" t="n">
        <f aca="false">COUNTIFS('Clean Data'!$U$2:$U$248,$A92,'Clean Data'!$AH$2:$AH$248,"?*")</f>
        <v>2</v>
      </c>
    </row>
    <row r="93" customFormat="false" ht="15" hidden="false" customHeight="false" outlineLevel="0" collapsed="false">
      <c r="A93" s="22" t="s">
        <v>173</v>
      </c>
      <c r="B93" s="23" t="n">
        <f aca="false">COUNTIFS('Clean Data'!$U$2:$U$248,$A93)</f>
        <v>29</v>
      </c>
      <c r="C93" s="24" t="n">
        <f aca="false">B93/COUNTA('Clean Data'!$A$2:$A$248)</f>
        <v>0.117408906882591</v>
      </c>
      <c r="D93" s="25" t="n">
        <f aca="false">IFERROR(AVERAGEIFS('Clean Data'!$N$2:$N$248,'Clean Data'!$U$2:$U$248,$A93),"")</f>
        <v>5.62068965517241</v>
      </c>
      <c r="E93" s="23" t="n">
        <f aca="false">SUMIFS('Clean Data'!$N$2:$N$248,'Clean Data'!$U$2:$U$248,$A93)</f>
        <v>163</v>
      </c>
      <c r="F93" s="24" t="n">
        <f aca="false">E93/SUM('Clean Data'!$N$2:$N$248)</f>
        <v>0.105365223012282</v>
      </c>
      <c r="G93" s="24" t="n">
        <f aca="false">IFERROR(COUNTIFS('Clean Data'!$U$2:$U$248,$A93,'Clean Data'!$P$2:$P$248,TRUE())/B93,"")</f>
        <v>0.206896551724138</v>
      </c>
      <c r="H93" s="24" t="n">
        <f aca="false">IFERROR(COUNTIFS('Clean Data'!$U$2:$U$248,$A93,'Clean Data'!$AB$2:$AB$248,TRUE())/B93,"")</f>
        <v>0.379310344827586</v>
      </c>
      <c r="I93" s="24" t="n">
        <f aca="false">IFERROR(COUNTIFS('Clean Data'!$U$2:$U$248,$A93,'Clean Data'!$Y$2:$Y$248,TRUE())/B93,"")</f>
        <v>0.344827586206897</v>
      </c>
      <c r="J93" s="23" t="n">
        <f aca="false">COUNTIFS('Clean Data'!$U$2:$U$248,$A93,'Clean Data'!$AC$2:$AC$248,"&lt;&gt;")</f>
        <v>6</v>
      </c>
      <c r="K93" s="23" t="n">
        <f aca="false">IFERROR(AVERAGEIFS('Clean Data'!$AC$2:$AC$248,'Clean Data'!$U$2:$U$248,$A93),"-")</f>
        <v>2045.16666666667</v>
      </c>
      <c r="L93" s="23" t="n">
        <f aca="false">COUNTIFS('Clean Data'!$U$2:$U$248,$A93,'Clean Data'!$AH$2:$AH$248,"?*")</f>
        <v>1</v>
      </c>
    </row>
    <row r="94" customFormat="false" ht="15" hidden="false" customHeight="false" outlineLevel="0" collapsed="false">
      <c r="A94" s="22" t="s">
        <v>174</v>
      </c>
      <c r="B94" s="23" t="n">
        <f aca="false">COUNTIFS('Clean Data'!$U$2:$U$248,$A94)</f>
        <v>49</v>
      </c>
      <c r="C94" s="24" t="n">
        <f aca="false">B94/COUNTA('Clean Data'!$A$2:$A$248)</f>
        <v>0.198380566801619</v>
      </c>
      <c r="D94" s="25" t="n">
        <f aca="false">IFERROR(AVERAGEIFS('Clean Data'!$N$2:$N$248,'Clean Data'!$U$2:$U$248,$A94),"")</f>
        <v>6</v>
      </c>
      <c r="E94" s="23" t="n">
        <f aca="false">SUMIFS('Clean Data'!$N$2:$N$248,'Clean Data'!$U$2:$U$248,$A94)</f>
        <v>294</v>
      </c>
      <c r="F94" s="24" t="n">
        <f aca="false">E94/SUM('Clean Data'!$N$2:$N$248)</f>
        <v>0.190045248868778</v>
      </c>
      <c r="G94" s="24" t="n">
        <f aca="false">IFERROR(COUNTIFS('Clean Data'!$U$2:$U$248,$A94,'Clean Data'!$P$2:$P$248,TRUE())/B94,"")</f>
        <v>0.244897959183673</v>
      </c>
      <c r="H94" s="24" t="n">
        <f aca="false">IFERROR(COUNTIFS('Clean Data'!$U$2:$U$248,$A94,'Clean Data'!$AB$2:$AB$248,TRUE())/B94,"")</f>
        <v>0.306122448979592</v>
      </c>
      <c r="I94" s="24" t="n">
        <f aca="false">IFERROR(COUNTIFS('Clean Data'!$U$2:$U$248,$A94,'Clean Data'!$Y$2:$Y$248,TRUE())/B94,"")</f>
        <v>0.244897959183673</v>
      </c>
      <c r="J94" s="23" t="n">
        <f aca="false">COUNTIFS('Clean Data'!$U$2:$U$248,$A94,'Clean Data'!$AC$2:$AC$248,"&lt;&gt;")</f>
        <v>8</v>
      </c>
      <c r="K94" s="23" t="n">
        <f aca="false">IFERROR(AVERAGEIFS('Clean Data'!$AC$2:$AC$248,'Clean Data'!$U$2:$U$248,$A94),"-")</f>
        <v>3242.25</v>
      </c>
      <c r="L94" s="23" t="n">
        <f aca="false">COUNTIFS('Clean Data'!$U$2:$U$248,$A94,'Clean Data'!$AH$2:$AH$248,"?*")</f>
        <v>5</v>
      </c>
    </row>
    <row r="95" customFormat="false" ht="15" hidden="false" customHeight="false" outlineLevel="0" collapsed="false">
      <c r="A95" s="22" t="s">
        <v>175</v>
      </c>
      <c r="B95" s="23" t="n">
        <f aca="false">COUNTIFS('Clean Data'!$U$2:$U$248,$A95)</f>
        <v>46</v>
      </c>
      <c r="C95" s="24" t="n">
        <f aca="false">B95/COUNTA('Clean Data'!$A$2:$A$248)</f>
        <v>0.186234817813765</v>
      </c>
      <c r="D95" s="25" t="n">
        <f aca="false">IFERROR(AVERAGEIFS('Clean Data'!$N$2:$N$248,'Clean Data'!$U$2:$U$248,$A95),"")</f>
        <v>6.34782608695652</v>
      </c>
      <c r="E95" s="23" t="n">
        <f aca="false">SUMIFS('Clean Data'!$N$2:$N$248,'Clean Data'!$U$2:$U$248,$A95)</f>
        <v>292</v>
      </c>
      <c r="F95" s="24" t="n">
        <f aca="false">E95/SUM('Clean Data'!$N$2:$N$248)</f>
        <v>0.188752424046542</v>
      </c>
      <c r="G95" s="24" t="n">
        <f aca="false">IFERROR(COUNTIFS('Clean Data'!$U$2:$U$248,$A95,'Clean Data'!$P$2:$P$248,TRUE())/B95,"")</f>
        <v>0.304347826086957</v>
      </c>
      <c r="H95" s="24" t="n">
        <f aca="false">IFERROR(COUNTIFS('Clean Data'!$U$2:$U$248,$A95,'Clean Data'!$AB$2:$AB$248,TRUE())/B95,"")</f>
        <v>0.347826086956522</v>
      </c>
      <c r="I95" s="24" t="n">
        <f aca="false">IFERROR(COUNTIFS('Clean Data'!$U$2:$U$248,$A95,'Clean Data'!$Y$2:$Y$248,TRUE())/B95,"")</f>
        <v>0.369565217391304</v>
      </c>
      <c r="J95" s="23" t="n">
        <f aca="false">COUNTIFS('Clean Data'!$U$2:$U$248,$A95,'Clean Data'!$AC$2:$AC$248,"&lt;&gt;")</f>
        <v>11</v>
      </c>
      <c r="K95" s="23" t="n">
        <f aca="false">IFERROR(AVERAGEIFS('Clean Data'!$AC$2:$AC$248,'Clean Data'!$U$2:$U$248,$A95),"-")</f>
        <v>3377.36363636364</v>
      </c>
      <c r="L95" s="23" t="n">
        <f aca="false">COUNTIFS('Clean Data'!$U$2:$U$248,$A95,'Clean Data'!$AH$2:$AH$248,"?*")</f>
        <v>5</v>
      </c>
    </row>
    <row r="96" customFormat="false" ht="15" hidden="false" customHeight="false" outlineLevel="0" collapsed="false">
      <c r="A96" s="22" t="s">
        <v>176</v>
      </c>
      <c r="B96" s="23" t="n">
        <f aca="false">COUNTIFS('Clean Data'!$U$2:$U$248,$A96)</f>
        <v>41</v>
      </c>
      <c r="C96" s="24" t="n">
        <f aca="false">B96/COUNTA('Clean Data'!$A$2:$A$248)</f>
        <v>0.165991902834008</v>
      </c>
      <c r="D96" s="25" t="n">
        <f aca="false">IFERROR(AVERAGEIFS('Clean Data'!$N$2:$N$248,'Clean Data'!$U$2:$U$248,$A96),"")</f>
        <v>5.14634146341463</v>
      </c>
      <c r="E96" s="23" t="n">
        <f aca="false">SUMIFS('Clean Data'!$N$2:$N$248,'Clean Data'!$U$2:$U$248,$A96)</f>
        <v>211</v>
      </c>
      <c r="F96" s="24" t="n">
        <f aca="false">E96/SUM('Clean Data'!$N$2:$N$248)</f>
        <v>0.13639301874596</v>
      </c>
      <c r="G96" s="24" t="n">
        <f aca="false">IFERROR(COUNTIFS('Clean Data'!$U$2:$U$248,$A96,'Clean Data'!$P$2:$P$248,TRUE())/B96,"")</f>
        <v>0.195121951219512</v>
      </c>
      <c r="H96" s="24" t="n">
        <f aca="false">IFERROR(COUNTIFS('Clean Data'!$U$2:$U$248,$A96,'Clean Data'!$AB$2:$AB$248,TRUE())/B96,"")</f>
        <v>0.292682926829268</v>
      </c>
      <c r="I96" s="24" t="n">
        <f aca="false">IFERROR(COUNTIFS('Clean Data'!$U$2:$U$248,$A96,'Clean Data'!$Y$2:$Y$248,TRUE())/B96,"")</f>
        <v>0.268292682926829</v>
      </c>
      <c r="J96" s="23" t="n">
        <f aca="false">COUNTIFS('Clean Data'!$U$2:$U$248,$A96,'Clean Data'!$AC$2:$AC$248,"&lt;&gt;")</f>
        <v>11</v>
      </c>
      <c r="K96" s="23" t="n">
        <f aca="false">IFERROR(AVERAGEIFS('Clean Data'!$AC$2:$AC$248,'Clean Data'!$U$2:$U$248,$A96),"-")</f>
        <v>2902.27272727273</v>
      </c>
      <c r="L96" s="23" t="n">
        <f aca="false">COUNTIFS('Clean Data'!$U$2:$U$248,$A96,'Clean Data'!$AH$2:$AH$248,"?*")</f>
        <v>5</v>
      </c>
    </row>
    <row r="97" customFormat="false" ht="15" hidden="false" customHeight="false" outlineLevel="0" collapsed="false">
      <c r="A97" s="22" t="s">
        <v>177</v>
      </c>
      <c r="B97" s="23" t="n">
        <f aca="false">COUNTIFS('Clean Data'!$U$2:$U$248,$A97)</f>
        <v>20</v>
      </c>
      <c r="C97" s="24" t="n">
        <f aca="false">B97/COUNTA('Clean Data'!$A$2:$A$248)</f>
        <v>0.0809716599190283</v>
      </c>
      <c r="D97" s="25" t="n">
        <f aca="false">IFERROR(AVERAGEIFS('Clean Data'!$N$2:$N$248,'Clean Data'!$U$2:$U$248,$A97),"")</f>
        <v>9</v>
      </c>
      <c r="E97" s="23" t="n">
        <f aca="false">SUMIFS('Clean Data'!$N$2:$N$248,'Clean Data'!$U$2:$U$248,$A97)</f>
        <v>180</v>
      </c>
      <c r="F97" s="24" t="n">
        <f aca="false">E97/SUM('Clean Data'!$N$2:$N$248)</f>
        <v>0.116354234001293</v>
      </c>
      <c r="G97" s="24" t="n">
        <f aca="false">IFERROR(COUNTIFS('Clean Data'!$U$2:$U$248,$A97,'Clean Data'!$P$2:$P$248,TRUE())/B97,"")</f>
        <v>0.4</v>
      </c>
      <c r="H97" s="24" t="n">
        <f aca="false">IFERROR(COUNTIFS('Clean Data'!$U$2:$U$248,$A97,'Clean Data'!$AB$2:$AB$248,TRUE())/B97,"")</f>
        <v>0.45</v>
      </c>
      <c r="I97" s="24" t="n">
        <f aca="false">IFERROR(COUNTIFS('Clean Data'!$U$2:$U$248,$A97,'Clean Data'!$Y$2:$Y$248,TRUE())/B97,"")</f>
        <v>0.15</v>
      </c>
      <c r="J97" s="23" t="n">
        <f aca="false">COUNTIFS('Clean Data'!$U$2:$U$248,$A97,'Clean Data'!$AC$2:$AC$248,"&lt;&gt;")</f>
        <v>2</v>
      </c>
      <c r="K97" s="23" t="n">
        <f aca="false">IFERROR(AVERAGEIFS('Clean Data'!$AC$2:$AC$248,'Clean Data'!$U$2:$U$248,$A97),"-")</f>
        <v>3302.5</v>
      </c>
      <c r="L97" s="23" t="n">
        <f aca="false">COUNTIFS('Clean Data'!$U$2:$U$248,$A97,'Clean Data'!$AH$2:$AH$248,"?*")</f>
        <v>4</v>
      </c>
    </row>
    <row r="98" customFormat="false" ht="15" hidden="false" customHeight="false" outlineLevel="0" collapsed="false">
      <c r="A98" s="26" t="s">
        <v>119</v>
      </c>
      <c r="B98" s="27" t="n">
        <f aca="false">SUM(B91:B97)</f>
        <v>247</v>
      </c>
      <c r="C98" s="28" t="n">
        <f aca="false">SUM(C91:C97)</f>
        <v>1</v>
      </c>
      <c r="D98" s="29" t="n">
        <f aca="false">E98/B98</f>
        <v>6.26315789473684</v>
      </c>
      <c r="E98" s="27" t="n">
        <f aca="false">SUM(E91:E97)</f>
        <v>1547</v>
      </c>
      <c r="F98" s="28" t="n">
        <f aca="false">SUM(F91:F97)</f>
        <v>1</v>
      </c>
      <c r="G98" s="30"/>
      <c r="H98" s="30"/>
      <c r="I98" s="30"/>
      <c r="J98" s="27" t="n">
        <f aca="false">SUM(J91:J97)</f>
        <v>52</v>
      </c>
      <c r="K98" s="30"/>
      <c r="L98" s="27" t="n">
        <f aca="false">SUM(L91:L97)</f>
        <v>24</v>
      </c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7" t="s">
        <v>178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30" hidden="false" customHeight="true" outlineLevel="0" collapsed="false">
      <c r="A102" s="4" t="s">
        <v>179</v>
      </c>
      <c r="B102" s="4" t="s">
        <v>100</v>
      </c>
      <c r="C102" s="4" t="s">
        <v>101</v>
      </c>
      <c r="D102" s="4" t="s">
        <v>102</v>
      </c>
      <c r="E102" s="4" t="s">
        <v>103</v>
      </c>
      <c r="F102" s="4" t="s">
        <v>104</v>
      </c>
      <c r="G102" s="4" t="s">
        <v>105</v>
      </c>
      <c r="H102" s="4" t="s">
        <v>63</v>
      </c>
      <c r="I102" s="4" t="s">
        <v>73</v>
      </c>
      <c r="J102" s="4" t="s">
        <v>106</v>
      </c>
      <c r="K102" s="4" t="s">
        <v>107</v>
      </c>
      <c r="L102" s="4" t="s">
        <v>108</v>
      </c>
    </row>
    <row r="103" customFormat="false" ht="15" hidden="false" customHeight="false" outlineLevel="0" collapsed="false">
      <c r="A103" s="22" t="s">
        <v>180</v>
      </c>
      <c r="B103" s="23" t="n">
        <f aca="false">COUNTIFS('Clean Data'!$O$2:$O$248,$A103)</f>
        <v>113</v>
      </c>
      <c r="C103" s="24" t="n">
        <f aca="false">B103/COUNTA('Clean Data'!$A$2:$A$248)</f>
        <v>0.45748987854251</v>
      </c>
      <c r="D103" s="25" t="n">
        <f aca="false">IFERROR(AVERAGEIFS('Clean Data'!$N$2:$N$248,'Clean Data'!$O$2:$O$248,$A103),"")</f>
        <v>2.20353982300885</v>
      </c>
      <c r="E103" s="23" t="n">
        <f aca="false">SUMIFS('Clean Data'!$N$2:$N$248,'Clean Data'!$O$2:$O$248,$A103)</f>
        <v>249</v>
      </c>
      <c r="F103" s="24" t="n">
        <f aca="false">E103/SUM('Clean Data'!$N$2:$N$248)</f>
        <v>0.160956690368455</v>
      </c>
      <c r="G103" s="24" t="n">
        <f aca="false">IFERROR(COUNTIFS('Clean Data'!$O$2:$O$248,$A103,'Clean Data'!$P$2:$P$248,TRUE())/B103,"")</f>
        <v>0</v>
      </c>
      <c r="H103" s="24" t="n">
        <f aca="false">IFERROR(COUNTIFS('Clean Data'!$O$2:$O$248,$A103,'Clean Data'!$AB$2:$AB$248,TRUE())/B103,"")</f>
        <v>0.371681415929204</v>
      </c>
      <c r="I103" s="24" t="n">
        <f aca="false">IFERROR(COUNTIFS('Clean Data'!$O$2:$O$248,$A103,'Clean Data'!$Y$2:$Y$248,TRUE())/B103,"")</f>
        <v>0.283185840707965</v>
      </c>
      <c r="J103" s="23" t="n">
        <f aca="false">COUNTIFS('Clean Data'!$O$2:$O$248,$A103,'Clean Data'!$AC$2:$AC$248,"&lt;&gt;")</f>
        <v>31</v>
      </c>
      <c r="K103" s="23" t="n">
        <f aca="false">IFERROR(AVERAGEIFS('Clean Data'!$AC$2:$AC$248,'Clean Data'!$O$2:$O$248,$A103),"-")</f>
        <v>2259.87096774194</v>
      </c>
      <c r="L103" s="23" t="n">
        <f aca="false">COUNTIFS('Clean Data'!$O$2:$O$248,$A103,'Clean Data'!$AH$2:$AH$248,"?*")</f>
        <v>6</v>
      </c>
    </row>
    <row r="104" customFormat="false" ht="15" hidden="false" customHeight="false" outlineLevel="0" collapsed="false">
      <c r="A104" s="22" t="s">
        <v>181</v>
      </c>
      <c r="B104" s="23" t="n">
        <f aca="false">COUNTIFS('Clean Data'!$O$2:$O$248,$A104)</f>
        <v>71</v>
      </c>
      <c r="C104" s="24" t="n">
        <f aca="false">B104/COUNTA('Clean Data'!$A$2:$A$248)</f>
        <v>0.287449392712551</v>
      </c>
      <c r="D104" s="25" t="n">
        <f aca="false">IFERROR(AVERAGEIFS('Clean Data'!$N$2:$N$248,'Clean Data'!$O$2:$O$248,$A104),"")</f>
        <v>5</v>
      </c>
      <c r="E104" s="23" t="n">
        <f aca="false">SUMIFS('Clean Data'!$N$2:$N$248,'Clean Data'!$O$2:$O$248,$A104)</f>
        <v>355</v>
      </c>
      <c r="F104" s="24" t="n">
        <f aca="false">E104/SUM('Clean Data'!$N$2:$N$248)</f>
        <v>0.229476405946994</v>
      </c>
      <c r="G104" s="24" t="n">
        <f aca="false">IFERROR(COUNTIFS('Clean Data'!$O$2:$O$248,$A104,'Clean Data'!$P$2:$P$248,TRUE())/B104,"")</f>
        <v>0</v>
      </c>
      <c r="H104" s="24" t="n">
        <f aca="false">IFERROR(COUNTIFS('Clean Data'!$O$2:$O$248,$A104,'Clean Data'!$AB$2:$AB$248,TRUE())/B104,"")</f>
        <v>0.366197183098592</v>
      </c>
      <c r="I104" s="24" t="n">
        <f aca="false">IFERROR(COUNTIFS('Clean Data'!$O$2:$O$248,$A104,'Clean Data'!$Y$2:$Y$248,TRUE())/B104,"")</f>
        <v>0.267605633802817</v>
      </c>
      <c r="J104" s="23" t="n">
        <f aca="false">COUNTIFS('Clean Data'!$O$2:$O$248,$A104,'Clean Data'!$AC$2:$AC$248,"&lt;&gt;")</f>
        <v>18</v>
      </c>
      <c r="K104" s="23" t="n">
        <f aca="false">IFERROR(AVERAGEIFS('Clean Data'!$AC$2:$AC$248,'Clean Data'!$O$2:$O$248,$A104),"-")</f>
        <v>3506.94444444444</v>
      </c>
      <c r="L104" s="23" t="n">
        <f aca="false">COUNTIFS('Clean Data'!$O$2:$O$248,$A104,'Clean Data'!$AH$2:$AH$248,"?*")</f>
        <v>0</v>
      </c>
    </row>
    <row r="105" customFormat="false" ht="15" hidden="false" customHeight="false" outlineLevel="0" collapsed="false">
      <c r="A105" s="22" t="s">
        <v>182</v>
      </c>
      <c r="B105" s="23" t="n">
        <f aca="false">COUNTIFS('Clean Data'!$O$2:$O$248,$A105)</f>
        <v>35</v>
      </c>
      <c r="C105" s="24" t="n">
        <f aca="false">B105/COUNTA('Clean Data'!$A$2:$A$248)</f>
        <v>0.1417004048583</v>
      </c>
      <c r="D105" s="25" t="n">
        <f aca="false">IFERROR(AVERAGEIFS('Clean Data'!$N$2:$N$248,'Clean Data'!$O$2:$O$248,$A105),"")</f>
        <v>11.6</v>
      </c>
      <c r="E105" s="23" t="n">
        <f aca="false">SUMIFS('Clean Data'!$N$2:$N$248,'Clean Data'!$O$2:$O$248,$A105)</f>
        <v>406</v>
      </c>
      <c r="F105" s="24" t="n">
        <f aca="false">E105/SUM('Clean Data'!$N$2:$N$248)</f>
        <v>0.262443438914027</v>
      </c>
      <c r="G105" s="24" t="n">
        <f aca="false">IFERROR(COUNTIFS('Clean Data'!$O$2:$O$248,$A105,'Clean Data'!$P$2:$P$248,TRUE())/B105,"")</f>
        <v>1</v>
      </c>
      <c r="H105" s="24" t="n">
        <f aca="false">IFERROR(COUNTIFS('Clean Data'!$O$2:$O$248,$A105,'Clean Data'!$AB$2:$AB$248,TRUE())/B105,"")</f>
        <v>0.314285714285714</v>
      </c>
      <c r="I105" s="24" t="n">
        <f aca="false">IFERROR(COUNTIFS('Clean Data'!$O$2:$O$248,$A105,'Clean Data'!$Y$2:$Y$248,TRUE())/B105,"")</f>
        <v>0.371428571428571</v>
      </c>
      <c r="J105" s="23" t="n">
        <f aca="false">COUNTIFS('Clean Data'!$O$2:$O$248,$A105,'Clean Data'!$AC$2:$AC$248,"&lt;&gt;")</f>
        <v>3</v>
      </c>
      <c r="K105" s="23" t="n">
        <f aca="false">IFERROR(AVERAGEIFS('Clean Data'!$AC$2:$AC$248,'Clean Data'!$O$2:$O$248,$A105),"-")</f>
        <v>6658</v>
      </c>
      <c r="L105" s="23" t="n">
        <f aca="false">COUNTIFS('Clean Data'!$O$2:$O$248,$A105,'Clean Data'!$AH$2:$AH$248,"?*")</f>
        <v>1</v>
      </c>
    </row>
    <row r="106" customFormat="false" ht="15" hidden="false" customHeight="false" outlineLevel="0" collapsed="false">
      <c r="A106" s="22" t="s">
        <v>183</v>
      </c>
      <c r="B106" s="23" t="n">
        <f aca="false">COUNTIFS('Clean Data'!$O$2:$O$248,$A106)</f>
        <v>28</v>
      </c>
      <c r="C106" s="24" t="n">
        <f aca="false">B106/COUNTA('Clean Data'!$A$2:$A$248)</f>
        <v>0.11336032388664</v>
      </c>
      <c r="D106" s="25" t="n">
        <f aca="false">IFERROR(AVERAGEIFS('Clean Data'!$N$2:$N$248,'Clean Data'!$O$2:$O$248,$A106),"")</f>
        <v>19.1785714285714</v>
      </c>
      <c r="E106" s="23" t="n">
        <f aca="false">SUMIFS('Clean Data'!$N$2:$N$248,'Clean Data'!$O$2:$O$248,$A106)</f>
        <v>537</v>
      </c>
      <c r="F106" s="24" t="n">
        <f aca="false">E106/SUM('Clean Data'!$N$2:$N$248)</f>
        <v>0.347123464770524</v>
      </c>
      <c r="G106" s="24" t="n">
        <f aca="false">IFERROR(COUNTIFS('Clean Data'!$O$2:$O$248,$A106,'Clean Data'!$P$2:$P$248,TRUE())/B106,"")</f>
        <v>1</v>
      </c>
      <c r="H106" s="24" t="n">
        <f aca="false">IFERROR(COUNTIFS('Clean Data'!$O$2:$O$248,$A106,'Clean Data'!$AB$2:$AB$248,TRUE())/B106,"")</f>
        <v>0.357142857142857</v>
      </c>
      <c r="I106" s="24" t="n">
        <f aca="false">IFERROR(COUNTIFS('Clean Data'!$O$2:$O$248,$A106,'Clean Data'!$Y$2:$Y$248,TRUE())/B106,"")</f>
        <v>0.285714285714286</v>
      </c>
      <c r="J106" s="23" t="n">
        <f aca="false">COUNTIFS('Clean Data'!$O$2:$O$248,$A106,'Clean Data'!$AC$2:$AC$248,"&lt;&gt;")</f>
        <v>0</v>
      </c>
      <c r="K106" s="23" t="str">
        <f aca="false">IFERROR(AVERAGEIFS('Clean Data'!$AC$2:$AC$248,'Clean Data'!$O$2:$O$248,$A106),"-")</f>
        <v>-</v>
      </c>
      <c r="L106" s="23" t="n">
        <f aca="false">COUNTIFS('Clean Data'!$O$2:$O$248,$A106,'Clean Data'!$AH$2:$AH$248,"?*")</f>
        <v>17</v>
      </c>
    </row>
    <row r="107" customFormat="false" ht="15" hidden="false" customHeight="false" outlineLevel="0" collapsed="false">
      <c r="A107" s="26" t="s">
        <v>119</v>
      </c>
      <c r="B107" s="27" t="n">
        <f aca="false">SUM(B103:B106)</f>
        <v>247</v>
      </c>
      <c r="C107" s="28" t="n">
        <f aca="false">SUM(C103:C106)</f>
        <v>1</v>
      </c>
      <c r="D107" s="29" t="n">
        <f aca="false">E107/B107</f>
        <v>6.26315789473684</v>
      </c>
      <c r="E107" s="27" t="n">
        <f aca="false">SUM(E103:E106)</f>
        <v>1547</v>
      </c>
      <c r="F107" s="28" t="n">
        <f aca="false">SUM(F103:F106)</f>
        <v>1</v>
      </c>
      <c r="G107" s="30"/>
      <c r="H107" s="30"/>
      <c r="I107" s="30"/>
      <c r="J107" s="27" t="n">
        <f aca="false">SUM(J103:J106)</f>
        <v>52</v>
      </c>
      <c r="K107" s="30"/>
      <c r="L107" s="27" t="n">
        <f aca="false">SUM(L103:L106)</f>
        <v>24</v>
      </c>
    </row>
  </sheetData>
  <conditionalFormatting sqref="B6:B15">
    <cfRule type="dataBar" priority="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{1552F321-6755-4C27-A3EE-8FD2443C643A}</x14:id>
        </ext>
      </extLst>
    </cfRule>
  </conditionalFormatting>
  <conditionalFormatting sqref="D6:D15">
    <cfRule type="colorScale" priority="3">
      <colorScale>
        <cfvo type="min" val="0"/>
        <cfvo type="max" val="0"/>
        <color rgb="FFF0EFEC"/>
        <color rgb="FFEB6834"/>
      </colorScale>
    </cfRule>
  </conditionalFormatting>
  <conditionalFormatting sqref="B21:B24">
    <cfRule type="dataBar" priority="4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{4BF41833-D9EC-4F4F-9EBB-5EBFCD8E457F}</x14:id>
        </ext>
      </extLst>
    </cfRule>
  </conditionalFormatting>
  <conditionalFormatting sqref="D21:D24">
    <cfRule type="colorScale" priority="5">
      <colorScale>
        <cfvo type="min" val="0"/>
        <cfvo type="max" val="0"/>
        <color rgb="FFF0EFEC"/>
        <color rgb="FFEB6834"/>
      </colorScale>
    </cfRule>
  </conditionalFormatting>
  <conditionalFormatting sqref="B30:B36">
    <cfRule type="dataBar" priority="6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{76C5D8DF-CBBF-4ADA-AEAD-5E4160E4BFDE}</x14:id>
        </ext>
      </extLst>
    </cfRule>
  </conditionalFormatting>
  <conditionalFormatting sqref="D30:D36">
    <cfRule type="colorScale" priority="7">
      <colorScale>
        <cfvo type="min" val="0"/>
        <cfvo type="max" val="0"/>
        <color rgb="FFF0EFEC"/>
        <color rgb="FFEB6834"/>
      </colorScale>
    </cfRule>
  </conditionalFormatting>
  <conditionalFormatting sqref="B42:B44">
    <cfRule type="dataBar" priority="8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{78A854F7-49E6-4820-8197-60E360F7C6CA}</x14:id>
        </ext>
      </extLst>
    </cfRule>
  </conditionalFormatting>
  <conditionalFormatting sqref="D42:D44">
    <cfRule type="colorScale" priority="9">
      <colorScale>
        <cfvo type="min" val="0"/>
        <cfvo type="max" val="0"/>
        <color rgb="FFF0EFEC"/>
        <color rgb="FFEB6834"/>
      </colorScale>
    </cfRule>
  </conditionalFormatting>
  <conditionalFormatting sqref="B50:B52">
    <cfRule type="dataBar" priority="10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{22943E3D-4DF8-4CC6-9CAA-44834723D171}</x14:id>
        </ext>
      </extLst>
    </cfRule>
  </conditionalFormatting>
  <conditionalFormatting sqref="D50:D52">
    <cfRule type="colorScale" priority="11">
      <colorScale>
        <cfvo type="min" val="0"/>
        <cfvo type="max" val="0"/>
        <color rgb="FFF0EFEC"/>
        <color rgb="FFEB6834"/>
      </colorScale>
    </cfRule>
  </conditionalFormatting>
  <conditionalFormatting sqref="B58:B61">
    <cfRule type="dataBar" priority="1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{A473F347-D250-43D2-938A-20A144C8A452}</x14:id>
        </ext>
      </extLst>
    </cfRule>
  </conditionalFormatting>
  <conditionalFormatting sqref="D58:D61">
    <cfRule type="colorScale" priority="13">
      <colorScale>
        <cfvo type="min" val="0"/>
        <cfvo type="max" val="0"/>
        <color rgb="FFF0EFEC"/>
        <color rgb="FFEB6834"/>
      </colorScale>
    </cfRule>
  </conditionalFormatting>
  <conditionalFormatting sqref="B67:B68">
    <cfRule type="dataBar" priority="14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{2258767F-701C-48C1-A76F-D8519DC47798}</x14:id>
        </ext>
      </extLst>
    </cfRule>
  </conditionalFormatting>
  <conditionalFormatting sqref="D67:D68">
    <cfRule type="colorScale" priority="15">
      <colorScale>
        <cfvo type="min" val="0"/>
        <cfvo type="max" val="0"/>
        <color rgb="FFF0EFEC"/>
        <color rgb="FFEB6834"/>
      </colorScale>
    </cfRule>
  </conditionalFormatting>
  <conditionalFormatting sqref="B74:B85">
    <cfRule type="dataBar" priority="16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{371D6969-93B8-4E7F-A917-847C3BE43C30}</x14:id>
        </ext>
      </extLst>
    </cfRule>
  </conditionalFormatting>
  <conditionalFormatting sqref="D74:D85">
    <cfRule type="colorScale" priority="17">
      <colorScale>
        <cfvo type="min" val="0"/>
        <cfvo type="max" val="0"/>
        <color rgb="FFF0EFEC"/>
        <color rgb="FFEB6834"/>
      </colorScale>
    </cfRule>
  </conditionalFormatting>
  <conditionalFormatting sqref="B91:B97">
    <cfRule type="dataBar" priority="18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{4CF0DE18-95BF-43A0-9590-B67B38FE8BF1}</x14:id>
        </ext>
      </extLst>
    </cfRule>
  </conditionalFormatting>
  <conditionalFormatting sqref="D91:D97">
    <cfRule type="colorScale" priority="19">
      <colorScale>
        <cfvo type="min" val="0"/>
        <cfvo type="max" val="0"/>
        <color rgb="FFF0EFEC"/>
        <color rgb="FFEB6834"/>
      </colorScale>
    </cfRule>
  </conditionalFormatting>
  <conditionalFormatting sqref="B103:B106">
    <cfRule type="dataBar" priority="20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{A8CBC736-5745-43C2-B412-467F9D7AA91A}</x14:id>
        </ext>
      </extLst>
    </cfRule>
  </conditionalFormatting>
  <conditionalFormatting sqref="D103:D106">
    <cfRule type="colorScale" priority="21">
      <colorScale>
        <cfvo type="min" val="0"/>
        <cfvo type="max" val="0"/>
        <color rgb="FFF0EFEC"/>
        <color rgb="FFEB683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52F321-6755-4C27-A3EE-8FD2443C643A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B6:B15</xm:sqref>
        </x14:conditionalFormatting>
        <x14:conditionalFormatting xmlns:xm="http://schemas.microsoft.com/office/excel/2006/main">
          <x14:cfRule type="dataBar" id="{4BF41833-D9EC-4F4F-9EBB-5EBFCD8E457F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B21:B24</xm:sqref>
        </x14:conditionalFormatting>
        <x14:conditionalFormatting xmlns:xm="http://schemas.microsoft.com/office/excel/2006/main">
          <x14:cfRule type="dataBar" id="{76C5D8DF-CBBF-4ADA-AEAD-5E4160E4BFDE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B30:B36</xm:sqref>
        </x14:conditionalFormatting>
        <x14:conditionalFormatting xmlns:xm="http://schemas.microsoft.com/office/excel/2006/main">
          <x14:cfRule type="dataBar" id="{78A854F7-49E6-4820-8197-60E360F7C6CA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B42:B44</xm:sqref>
        </x14:conditionalFormatting>
        <x14:conditionalFormatting xmlns:xm="http://schemas.microsoft.com/office/excel/2006/main">
          <x14:cfRule type="dataBar" id="{22943E3D-4DF8-4CC6-9CAA-44834723D171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B50:B52</xm:sqref>
        </x14:conditionalFormatting>
        <x14:conditionalFormatting xmlns:xm="http://schemas.microsoft.com/office/excel/2006/main">
          <x14:cfRule type="dataBar" id="{A473F347-D250-43D2-938A-20A144C8A452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B58:B61</xm:sqref>
        </x14:conditionalFormatting>
        <x14:conditionalFormatting xmlns:xm="http://schemas.microsoft.com/office/excel/2006/main">
          <x14:cfRule type="dataBar" id="{2258767F-701C-48C1-A76F-D8519DC47798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B67:B68</xm:sqref>
        </x14:conditionalFormatting>
        <x14:conditionalFormatting xmlns:xm="http://schemas.microsoft.com/office/excel/2006/main">
          <x14:cfRule type="dataBar" id="{371D6969-93B8-4E7F-A917-847C3BE43C30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B74:B85</xm:sqref>
        </x14:conditionalFormatting>
        <x14:conditionalFormatting xmlns:xm="http://schemas.microsoft.com/office/excel/2006/main">
          <x14:cfRule type="dataBar" id="{4CF0DE18-95BF-43A0-9590-B67B38FE8BF1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B91:B97</xm:sqref>
        </x14:conditionalFormatting>
        <x14:conditionalFormatting xmlns:xm="http://schemas.microsoft.com/office/excel/2006/main">
          <x14:cfRule type="dataBar" id="{A8CBC736-5745-43C2-B412-467F9D7AA91A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B103:B106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184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185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A4" s="4" t="s">
        <v>99</v>
      </c>
      <c r="B4" s="4" t="s">
        <v>186</v>
      </c>
      <c r="C4" s="4" t="s">
        <v>187</v>
      </c>
      <c r="D4" s="4" t="s">
        <v>188</v>
      </c>
      <c r="E4" s="4" t="s">
        <v>119</v>
      </c>
      <c r="F4" s="4" t="s">
        <v>189</v>
      </c>
      <c r="G4" s="4" t="s">
        <v>190</v>
      </c>
      <c r="H4" s="4" t="s">
        <v>191</v>
      </c>
      <c r="I4" s="4" t="s">
        <v>102</v>
      </c>
    </row>
    <row r="5" customFormat="false" ht="15" hidden="false" customHeight="false" outlineLevel="0" collapsed="false">
      <c r="A5" s="22" t="s">
        <v>109</v>
      </c>
      <c r="B5" s="2" t="n">
        <f aca="false">COUNTIFS('Clean Data'!$G$2:$G$248,$A5,'Clean Data'!$Z$2:$Z$248,"Low")</f>
        <v>12</v>
      </c>
      <c r="C5" s="2" t="n">
        <f aca="false">COUNTIFS('Clean Data'!$G$2:$G$248,$A5,'Clean Data'!$Z$2:$Z$248,"Medium")</f>
        <v>15</v>
      </c>
      <c r="D5" s="2" t="n">
        <f aca="false">COUNTIFS('Clean Data'!$G$2:$G$248,$A5,'Clean Data'!$Z$2:$Z$248,"High")</f>
        <v>13</v>
      </c>
      <c r="E5" s="5" t="n">
        <f aca="false">SUM(B5:D5)</f>
        <v>40</v>
      </c>
      <c r="F5" s="31" t="n">
        <f aca="false">B5/$E5</f>
        <v>0.3</v>
      </c>
      <c r="G5" s="31" t="n">
        <f aca="false">C5/$E5</f>
        <v>0.375</v>
      </c>
      <c r="H5" s="31" t="n">
        <f aca="false">D5/$E5</f>
        <v>0.325</v>
      </c>
      <c r="I5" s="32" t="n">
        <f aca="false">AVERAGEIFS('Clean Data'!$N$2:$N$248,'Clean Data'!$G$2:$G$248,$A5)</f>
        <v>6.275</v>
      </c>
    </row>
    <row r="6" customFormat="false" ht="15" hidden="false" customHeight="false" outlineLevel="0" collapsed="false">
      <c r="A6" s="22" t="s">
        <v>110</v>
      </c>
      <c r="B6" s="2" t="n">
        <f aca="false">COUNTIFS('Clean Data'!$G$2:$G$248,$A6,'Clean Data'!$Z$2:$Z$248,"Low")</f>
        <v>15</v>
      </c>
      <c r="C6" s="2" t="n">
        <f aca="false">COUNTIFS('Clean Data'!$G$2:$G$248,$A6,'Clean Data'!$Z$2:$Z$248,"Medium")</f>
        <v>12</v>
      </c>
      <c r="D6" s="2" t="n">
        <f aca="false">COUNTIFS('Clean Data'!$G$2:$G$248,$A6,'Clean Data'!$Z$2:$Z$248,"High")</f>
        <v>10</v>
      </c>
      <c r="E6" s="5" t="n">
        <f aca="false">SUM(B6:D6)</f>
        <v>37</v>
      </c>
      <c r="F6" s="31" t="n">
        <f aca="false">B6/$E6</f>
        <v>0.405405405405405</v>
      </c>
      <c r="G6" s="31" t="n">
        <f aca="false">C6/$E6</f>
        <v>0.324324324324324</v>
      </c>
      <c r="H6" s="31" t="n">
        <f aca="false">D6/$E6</f>
        <v>0.27027027027027</v>
      </c>
      <c r="I6" s="32" t="n">
        <f aca="false">AVERAGEIFS('Clean Data'!$N$2:$N$248,'Clean Data'!$G$2:$G$248,$A6)</f>
        <v>5.13513513513514</v>
      </c>
    </row>
    <row r="7" customFormat="false" ht="15" hidden="false" customHeight="false" outlineLevel="0" collapsed="false">
      <c r="A7" s="22" t="s">
        <v>111</v>
      </c>
      <c r="B7" s="2" t="n">
        <f aca="false">COUNTIFS('Clean Data'!$G$2:$G$248,$A7,'Clean Data'!$Z$2:$Z$248,"Low")</f>
        <v>8</v>
      </c>
      <c r="C7" s="2" t="n">
        <f aca="false">COUNTIFS('Clean Data'!$G$2:$G$248,$A7,'Clean Data'!$Z$2:$Z$248,"Medium")</f>
        <v>10</v>
      </c>
      <c r="D7" s="2" t="n">
        <f aca="false">COUNTIFS('Clean Data'!$G$2:$G$248,$A7,'Clean Data'!$Z$2:$Z$248,"High")</f>
        <v>16</v>
      </c>
      <c r="E7" s="5" t="n">
        <f aca="false">SUM(B7:D7)</f>
        <v>34</v>
      </c>
      <c r="F7" s="31" t="n">
        <f aca="false">B7/$E7</f>
        <v>0.235294117647059</v>
      </c>
      <c r="G7" s="31" t="n">
        <f aca="false">C7/$E7</f>
        <v>0.294117647058824</v>
      </c>
      <c r="H7" s="31" t="n">
        <f aca="false">D7/$E7</f>
        <v>0.470588235294118</v>
      </c>
      <c r="I7" s="32" t="n">
        <f aca="false">AVERAGEIFS('Clean Data'!$N$2:$N$248,'Clean Data'!$G$2:$G$248,$A7)</f>
        <v>6.79411764705882</v>
      </c>
    </row>
    <row r="8" customFormat="false" ht="15" hidden="false" customHeight="false" outlineLevel="0" collapsed="false">
      <c r="A8" s="22" t="s">
        <v>112</v>
      </c>
      <c r="B8" s="2" t="n">
        <f aca="false">COUNTIFS('Clean Data'!$G$2:$G$248,$A8,'Clean Data'!$Z$2:$Z$248,"Low")</f>
        <v>11</v>
      </c>
      <c r="C8" s="2" t="n">
        <f aca="false">COUNTIFS('Clean Data'!$G$2:$G$248,$A8,'Clean Data'!$Z$2:$Z$248,"Medium")</f>
        <v>5</v>
      </c>
      <c r="D8" s="2" t="n">
        <f aca="false">COUNTIFS('Clean Data'!$G$2:$G$248,$A8,'Clean Data'!$Z$2:$Z$248,"High")</f>
        <v>15</v>
      </c>
      <c r="E8" s="5" t="n">
        <f aca="false">SUM(B8:D8)</f>
        <v>31</v>
      </c>
      <c r="F8" s="31" t="n">
        <f aca="false">B8/$E8</f>
        <v>0.354838709677419</v>
      </c>
      <c r="G8" s="31" t="n">
        <f aca="false">C8/$E8</f>
        <v>0.161290322580645</v>
      </c>
      <c r="H8" s="31" t="n">
        <f aca="false">D8/$E8</f>
        <v>0.483870967741936</v>
      </c>
      <c r="I8" s="32" t="n">
        <f aca="false">AVERAGEIFS('Clean Data'!$N$2:$N$248,'Clean Data'!$G$2:$G$248,$A8)</f>
        <v>7.74193548387097</v>
      </c>
    </row>
    <row r="9" customFormat="false" ht="15" hidden="false" customHeight="false" outlineLevel="0" collapsed="false">
      <c r="A9" s="22" t="s">
        <v>113</v>
      </c>
      <c r="B9" s="2" t="n">
        <f aca="false">COUNTIFS('Clean Data'!$G$2:$G$248,$A9,'Clean Data'!$Z$2:$Z$248,"Low")</f>
        <v>4</v>
      </c>
      <c r="C9" s="2" t="n">
        <f aca="false">COUNTIFS('Clean Data'!$G$2:$G$248,$A9,'Clean Data'!$Z$2:$Z$248,"Medium")</f>
        <v>11</v>
      </c>
      <c r="D9" s="2" t="n">
        <f aca="false">COUNTIFS('Clean Data'!$G$2:$G$248,$A9,'Clean Data'!$Z$2:$Z$248,"High")</f>
        <v>13</v>
      </c>
      <c r="E9" s="5" t="n">
        <f aca="false">SUM(B9:D9)</f>
        <v>28</v>
      </c>
      <c r="F9" s="31" t="n">
        <f aca="false">B9/$E9</f>
        <v>0.142857142857143</v>
      </c>
      <c r="G9" s="31" t="n">
        <f aca="false">C9/$E9</f>
        <v>0.392857142857143</v>
      </c>
      <c r="H9" s="31" t="n">
        <f aca="false">D9/$E9</f>
        <v>0.464285714285714</v>
      </c>
      <c r="I9" s="32" t="n">
        <f aca="false">AVERAGEIFS('Clean Data'!$N$2:$N$248,'Clean Data'!$G$2:$G$248,$A9)</f>
        <v>5.64285714285714</v>
      </c>
    </row>
    <row r="10" customFormat="false" ht="15" hidden="false" customHeight="false" outlineLevel="0" collapsed="false">
      <c r="A10" s="22" t="s">
        <v>114</v>
      </c>
      <c r="B10" s="2" t="n">
        <f aca="false">COUNTIFS('Clean Data'!$G$2:$G$248,$A10,'Clean Data'!$Z$2:$Z$248,"Low")</f>
        <v>13</v>
      </c>
      <c r="C10" s="2" t="n">
        <f aca="false">COUNTIFS('Clean Data'!$G$2:$G$248,$A10,'Clean Data'!$Z$2:$Z$248,"Medium")</f>
        <v>6</v>
      </c>
      <c r="D10" s="2" t="n">
        <f aca="false">COUNTIFS('Clean Data'!$G$2:$G$248,$A10,'Clean Data'!$Z$2:$Z$248,"High")</f>
        <v>5</v>
      </c>
      <c r="E10" s="5" t="n">
        <f aca="false">SUM(B10:D10)</f>
        <v>24</v>
      </c>
      <c r="F10" s="31" t="n">
        <f aca="false">B10/$E10</f>
        <v>0.541666666666667</v>
      </c>
      <c r="G10" s="31" t="n">
        <f aca="false">C10/$E10</f>
        <v>0.25</v>
      </c>
      <c r="H10" s="31" t="n">
        <f aca="false">D10/$E10</f>
        <v>0.208333333333333</v>
      </c>
      <c r="I10" s="32" t="n">
        <f aca="false">AVERAGEIFS('Clean Data'!$N$2:$N$248,'Clean Data'!$G$2:$G$248,$A10)</f>
        <v>5.79166666666667</v>
      </c>
    </row>
    <row r="11" customFormat="false" ht="15" hidden="false" customHeight="false" outlineLevel="0" collapsed="false">
      <c r="A11" s="22" t="s">
        <v>115</v>
      </c>
      <c r="B11" s="2" t="n">
        <f aca="false">COUNTIFS('Clean Data'!$G$2:$G$248,$A11,'Clean Data'!$Z$2:$Z$248,"Low")</f>
        <v>4</v>
      </c>
      <c r="C11" s="2" t="n">
        <f aca="false">COUNTIFS('Clean Data'!$G$2:$G$248,$A11,'Clean Data'!$Z$2:$Z$248,"Medium")</f>
        <v>10</v>
      </c>
      <c r="D11" s="2" t="n">
        <f aca="false">COUNTIFS('Clean Data'!$G$2:$G$248,$A11,'Clean Data'!$Z$2:$Z$248,"High")</f>
        <v>5</v>
      </c>
      <c r="E11" s="5" t="n">
        <f aca="false">SUM(B11:D11)</f>
        <v>19</v>
      </c>
      <c r="F11" s="31" t="n">
        <f aca="false">B11/$E11</f>
        <v>0.210526315789474</v>
      </c>
      <c r="G11" s="31" t="n">
        <f aca="false">C11/$E11</f>
        <v>0.526315789473684</v>
      </c>
      <c r="H11" s="31" t="n">
        <f aca="false">D11/$E11</f>
        <v>0.263157894736842</v>
      </c>
      <c r="I11" s="32" t="n">
        <f aca="false">AVERAGEIFS('Clean Data'!$N$2:$N$248,'Clean Data'!$G$2:$G$248,$A11)</f>
        <v>6.42105263157895</v>
      </c>
    </row>
    <row r="12" customFormat="false" ht="15" hidden="false" customHeight="false" outlineLevel="0" collapsed="false">
      <c r="A12" s="22" t="s">
        <v>116</v>
      </c>
      <c r="B12" s="2" t="n">
        <f aca="false">COUNTIFS('Clean Data'!$G$2:$G$248,$A12,'Clean Data'!$Z$2:$Z$248,"Low")</f>
        <v>8</v>
      </c>
      <c r="C12" s="2" t="n">
        <f aca="false">COUNTIFS('Clean Data'!$G$2:$G$248,$A12,'Clean Data'!$Z$2:$Z$248,"Medium")</f>
        <v>4</v>
      </c>
      <c r="D12" s="2" t="n">
        <f aca="false">COUNTIFS('Clean Data'!$G$2:$G$248,$A12,'Clean Data'!$Z$2:$Z$248,"High")</f>
        <v>3</v>
      </c>
      <c r="E12" s="5" t="n">
        <f aca="false">SUM(B12:D12)</f>
        <v>15</v>
      </c>
      <c r="F12" s="31" t="n">
        <f aca="false">B12/$E12</f>
        <v>0.533333333333333</v>
      </c>
      <c r="G12" s="31" t="n">
        <f aca="false">C12/$E12</f>
        <v>0.266666666666667</v>
      </c>
      <c r="H12" s="31" t="n">
        <f aca="false">D12/$E12</f>
        <v>0.2</v>
      </c>
      <c r="I12" s="32" t="n">
        <f aca="false">AVERAGEIFS('Clean Data'!$N$2:$N$248,'Clean Data'!$G$2:$G$248,$A12)</f>
        <v>6.4</v>
      </c>
    </row>
    <row r="13" customFormat="false" ht="15" hidden="false" customHeight="false" outlineLevel="0" collapsed="false">
      <c r="A13" s="22" t="s">
        <v>117</v>
      </c>
      <c r="B13" s="2" t="n">
        <f aca="false">COUNTIFS('Clean Data'!$G$2:$G$248,$A13,'Clean Data'!$Z$2:$Z$248,"Low")</f>
        <v>5</v>
      </c>
      <c r="C13" s="2" t="n">
        <f aca="false">COUNTIFS('Clean Data'!$G$2:$G$248,$A13,'Clean Data'!$Z$2:$Z$248,"Medium")</f>
        <v>3</v>
      </c>
      <c r="D13" s="2" t="n">
        <f aca="false">COUNTIFS('Clean Data'!$G$2:$G$248,$A13,'Clean Data'!$Z$2:$Z$248,"High")</f>
        <v>3</v>
      </c>
      <c r="E13" s="5" t="n">
        <f aca="false">SUM(B13:D13)</f>
        <v>11</v>
      </c>
      <c r="F13" s="31" t="n">
        <f aca="false">B13/$E13</f>
        <v>0.454545454545455</v>
      </c>
      <c r="G13" s="31" t="n">
        <f aca="false">C13/$E13</f>
        <v>0.272727272727273</v>
      </c>
      <c r="H13" s="31" t="n">
        <f aca="false">D13/$E13</f>
        <v>0.272727272727273</v>
      </c>
      <c r="I13" s="32" t="n">
        <f aca="false">AVERAGEIFS('Clean Data'!$N$2:$N$248,'Clean Data'!$G$2:$G$248,$A13)</f>
        <v>7.45454545454545</v>
      </c>
    </row>
    <row r="14" customFormat="false" ht="15" hidden="false" customHeight="false" outlineLevel="0" collapsed="false">
      <c r="A14" s="22" t="s">
        <v>118</v>
      </c>
      <c r="B14" s="2" t="n">
        <f aca="false">COUNTIFS('Clean Data'!$G$2:$G$248,$A14,'Clean Data'!$Z$2:$Z$248,"Low")</f>
        <v>1</v>
      </c>
      <c r="C14" s="2" t="n">
        <f aca="false">COUNTIFS('Clean Data'!$G$2:$G$248,$A14,'Clean Data'!$Z$2:$Z$248,"Medium")</f>
        <v>1</v>
      </c>
      <c r="D14" s="2" t="n">
        <f aca="false">COUNTIFS('Clean Data'!$G$2:$G$248,$A14,'Clean Data'!$Z$2:$Z$248,"High")</f>
        <v>6</v>
      </c>
      <c r="E14" s="5" t="n">
        <f aca="false">SUM(B14:D14)</f>
        <v>8</v>
      </c>
      <c r="F14" s="31" t="n">
        <f aca="false">B14/$E14</f>
        <v>0.125</v>
      </c>
      <c r="G14" s="31" t="n">
        <f aca="false">C14/$E14</f>
        <v>0.125</v>
      </c>
      <c r="H14" s="31" t="n">
        <f aca="false">D14/$E14</f>
        <v>0.75</v>
      </c>
      <c r="I14" s="32" t="n">
        <f aca="false">AVERAGEIFS('Clean Data'!$N$2:$N$248,'Clean Data'!$G$2:$G$248,$A14)</f>
        <v>4.75</v>
      </c>
    </row>
  </sheetData>
  <conditionalFormatting sqref="F5:H14">
    <cfRule type="colorScale" priority="2">
      <colorScale>
        <cfvo type="num" val="0"/>
        <cfvo type="num" val="0.8"/>
        <color rgb="FFFCFCFB"/>
        <color rgb="FF1C5CA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4" min="12" style="0" width="17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23"/>
    <col collapsed="false" customWidth="true" hidden="false" outlineLevel="0" max="21" min="20" style="0" width="20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5" min="24" style="0" width="15"/>
    <col collapsed="false" customWidth="true" hidden="false" outlineLevel="0" max="26" min="26" style="0" width="11"/>
    <col collapsed="false" customWidth="true" hidden="false" outlineLevel="0" max="27" min="27" style="0" width="14"/>
    <col collapsed="false" customWidth="true" hidden="false" outlineLevel="0" max="28" min="28" style="0" width="16"/>
    <col collapsed="false" customWidth="true" hidden="false" outlineLevel="0" max="30" min="29" style="0" width="11"/>
    <col collapsed="false" customWidth="true" hidden="false" outlineLevel="0" max="31" min="31" style="0" width="14"/>
    <col collapsed="false" customWidth="true" hidden="false" outlineLevel="0" max="32" min="32" style="0" width="15"/>
    <col collapsed="false" customWidth="true" hidden="false" outlineLevel="0" max="33" min="33" style="0" width="17"/>
    <col collapsed="false" customWidth="true" hidden="false" outlineLevel="0" max="34" min="34" style="0" width="14"/>
  </cols>
  <sheetData>
    <row r="1" customFormat="false" ht="15" hidden="false" customHeight="false" outlineLevel="0" collapsed="false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99</v>
      </c>
      <c r="H1" s="2" t="s">
        <v>198</v>
      </c>
      <c r="I1" s="2" t="s">
        <v>199</v>
      </c>
      <c r="J1" s="2" t="s">
        <v>127</v>
      </c>
      <c r="K1" s="2" t="s">
        <v>200</v>
      </c>
      <c r="L1" s="2" t="s">
        <v>201</v>
      </c>
      <c r="M1" s="2" t="s">
        <v>202</v>
      </c>
      <c r="N1" s="2" t="s">
        <v>203</v>
      </c>
      <c r="O1" s="2" t="s">
        <v>204</v>
      </c>
      <c r="P1" s="2" t="s">
        <v>205</v>
      </c>
      <c r="Q1" s="2" t="s">
        <v>206</v>
      </c>
      <c r="R1" s="2" t="s">
        <v>207</v>
      </c>
      <c r="S1" s="2" t="s">
        <v>208</v>
      </c>
      <c r="T1" s="2" t="s">
        <v>209</v>
      </c>
      <c r="U1" s="2" t="s">
        <v>210</v>
      </c>
      <c r="V1" s="2" t="s">
        <v>211</v>
      </c>
      <c r="W1" s="2" t="s">
        <v>136</v>
      </c>
      <c r="X1" s="2" t="s">
        <v>212</v>
      </c>
      <c r="Y1" s="2" t="s">
        <v>213</v>
      </c>
      <c r="Z1" s="2" t="s">
        <v>141</v>
      </c>
      <c r="AA1" s="2" t="s">
        <v>214</v>
      </c>
      <c r="AB1" s="2" t="s">
        <v>215</v>
      </c>
      <c r="AC1" s="2" t="s">
        <v>216</v>
      </c>
      <c r="AD1" s="2" t="s">
        <v>217</v>
      </c>
      <c r="AE1" s="2" t="s">
        <v>218</v>
      </c>
      <c r="AF1" s="2" t="s">
        <v>219</v>
      </c>
      <c r="AG1" s="2" t="s">
        <v>220</v>
      </c>
      <c r="AH1" s="2" t="s">
        <v>221</v>
      </c>
    </row>
    <row r="2" customFormat="false" ht="15" hidden="false" customHeight="false" outlineLevel="0" collapsed="false">
      <c r="A2" s="2" t="s">
        <v>222</v>
      </c>
      <c r="B2" s="2" t="s">
        <v>223</v>
      </c>
      <c r="C2" s="2" t="n">
        <v>42</v>
      </c>
      <c r="D2" s="2" t="s">
        <v>149</v>
      </c>
      <c r="E2" s="2" t="s">
        <v>153</v>
      </c>
      <c r="F2" s="2" t="s">
        <v>224</v>
      </c>
      <c r="G2" s="2" t="s">
        <v>115</v>
      </c>
      <c r="H2" s="2" t="s">
        <v>225</v>
      </c>
      <c r="I2" s="2" t="s">
        <v>122</v>
      </c>
      <c r="J2" s="2" t="s">
        <v>128</v>
      </c>
      <c r="K2" s="2" t="s">
        <v>226</v>
      </c>
      <c r="L2" s="33" t="n">
        <v>45112</v>
      </c>
      <c r="M2" s="33" t="n">
        <v>45129</v>
      </c>
      <c r="N2" s="2" t="n">
        <v>17</v>
      </c>
      <c r="O2" s="2" t="s">
        <v>183</v>
      </c>
      <c r="P2" s="34" t="b">
        <f aca="false">TRUE()</f>
        <v>1</v>
      </c>
      <c r="Q2" s="34" t="b">
        <f aca="false">FALSE()</f>
        <v>0</v>
      </c>
      <c r="R2" s="2" t="n">
        <v>7</v>
      </c>
      <c r="S2" s="2" t="s">
        <v>163</v>
      </c>
      <c r="T2" s="2" t="s">
        <v>227</v>
      </c>
      <c r="U2" s="2" t="s">
        <v>175</v>
      </c>
      <c r="V2" s="34" t="b">
        <f aca="false">FALSE()</f>
        <v>0</v>
      </c>
      <c r="W2" s="2" t="s">
        <v>139</v>
      </c>
      <c r="X2" s="2" t="s">
        <v>228</v>
      </c>
      <c r="Y2" s="34" t="b">
        <f aca="false">TRUE()</f>
        <v>1</v>
      </c>
      <c r="Z2" s="2" t="s">
        <v>144</v>
      </c>
      <c r="AA2" s="2" t="s">
        <v>229</v>
      </c>
      <c r="AB2" s="34" t="b">
        <f aca="false">TRUE()</f>
        <v>1</v>
      </c>
      <c r="AC2" s="35"/>
      <c r="AD2" s="35" t="n">
        <v>3852</v>
      </c>
      <c r="AE2" s="2" t="s">
        <v>230</v>
      </c>
      <c r="AF2" s="35"/>
      <c r="AG2" s="34" t="b">
        <f aca="false">FALSE()</f>
        <v>0</v>
      </c>
      <c r="AH2" s="2"/>
    </row>
    <row r="3" customFormat="false" ht="15" hidden="false" customHeight="false" outlineLevel="0" collapsed="false">
      <c r="A3" s="2" t="s">
        <v>231</v>
      </c>
      <c r="B3" s="2" t="s">
        <v>232</v>
      </c>
      <c r="C3" s="2" t="n">
        <v>33</v>
      </c>
      <c r="D3" s="2" t="s">
        <v>148</v>
      </c>
      <c r="E3" s="2" t="s">
        <v>154</v>
      </c>
      <c r="F3" s="2" t="s">
        <v>233</v>
      </c>
      <c r="G3" s="2" t="s">
        <v>115</v>
      </c>
      <c r="H3" s="2" t="s">
        <v>225</v>
      </c>
      <c r="I3" s="2" t="s">
        <v>122</v>
      </c>
      <c r="J3" s="2" t="s">
        <v>128</v>
      </c>
      <c r="K3" s="2" t="s">
        <v>226</v>
      </c>
      <c r="L3" s="33" t="n">
        <v>44990</v>
      </c>
      <c r="M3" s="33" t="n">
        <v>44993</v>
      </c>
      <c r="N3" s="2" t="n">
        <v>3</v>
      </c>
      <c r="O3" s="2" t="s">
        <v>180</v>
      </c>
      <c r="P3" s="34" t="b">
        <f aca="false">FALSE()</f>
        <v>0</v>
      </c>
      <c r="Q3" s="34" t="b">
        <f aca="false">FALSE()</f>
        <v>0</v>
      </c>
      <c r="R3" s="2" t="n">
        <v>3</v>
      </c>
      <c r="S3" s="2" t="s">
        <v>159</v>
      </c>
      <c r="T3" s="2" t="s">
        <v>234</v>
      </c>
      <c r="U3" s="2" t="s">
        <v>172</v>
      </c>
      <c r="V3" s="34" t="b">
        <f aca="false">FALSE()</f>
        <v>0</v>
      </c>
      <c r="W3" s="2" t="s">
        <v>137</v>
      </c>
      <c r="X3" s="2" t="s">
        <v>235</v>
      </c>
      <c r="Y3" s="34" t="b">
        <f aca="false">FALSE()</f>
        <v>0</v>
      </c>
      <c r="Z3" s="2" t="s">
        <v>143</v>
      </c>
      <c r="AA3" s="2" t="s">
        <v>236</v>
      </c>
      <c r="AB3" s="34" t="b">
        <f aca="false">FALSE()</f>
        <v>0</v>
      </c>
      <c r="AC3" s="35"/>
      <c r="AD3" s="35" t="n">
        <v>3852</v>
      </c>
      <c r="AE3" s="2" t="s">
        <v>230</v>
      </c>
      <c r="AF3" s="35"/>
      <c r="AG3" s="34" t="b">
        <f aca="false">FALSE()</f>
        <v>0</v>
      </c>
      <c r="AH3" s="2"/>
    </row>
    <row r="4" customFormat="false" ht="15" hidden="false" customHeight="false" outlineLevel="0" collapsed="false">
      <c r="A4" s="2" t="s">
        <v>237</v>
      </c>
      <c r="B4" s="2" t="s">
        <v>238</v>
      </c>
      <c r="C4" s="2" t="n">
        <v>42</v>
      </c>
      <c r="D4" s="2" t="s">
        <v>149</v>
      </c>
      <c r="E4" s="2" t="s">
        <v>153</v>
      </c>
      <c r="F4" s="2" t="s">
        <v>224</v>
      </c>
      <c r="G4" s="2" t="s">
        <v>109</v>
      </c>
      <c r="H4" s="2" t="s">
        <v>239</v>
      </c>
      <c r="I4" s="2" t="s">
        <v>123</v>
      </c>
      <c r="J4" s="2" t="s">
        <v>134</v>
      </c>
      <c r="K4" s="2" t="s">
        <v>240</v>
      </c>
      <c r="L4" s="33" t="n">
        <v>45225</v>
      </c>
      <c r="M4" s="33" t="n">
        <v>45226</v>
      </c>
      <c r="N4" s="2" t="n">
        <v>1</v>
      </c>
      <c r="O4" s="2" t="s">
        <v>180</v>
      </c>
      <c r="P4" s="34" t="b">
        <f aca="false">FALSE()</f>
        <v>0</v>
      </c>
      <c r="Q4" s="34" t="b">
        <f aca="false">FALSE()</f>
        <v>0</v>
      </c>
      <c r="R4" s="2" t="n">
        <v>10</v>
      </c>
      <c r="S4" s="2" t="s">
        <v>166</v>
      </c>
      <c r="T4" s="2" t="s">
        <v>241</v>
      </c>
      <c r="U4" s="2" t="s">
        <v>176</v>
      </c>
      <c r="V4" s="34" t="b">
        <f aca="false">FALSE()</f>
        <v>0</v>
      </c>
      <c r="W4" s="2" t="s">
        <v>139</v>
      </c>
      <c r="X4" s="2" t="s">
        <v>228</v>
      </c>
      <c r="Y4" s="34" t="b">
        <f aca="false">TRUE()</f>
        <v>1</v>
      </c>
      <c r="Z4" s="2" t="s">
        <v>144</v>
      </c>
      <c r="AA4" s="2" t="s">
        <v>229</v>
      </c>
      <c r="AB4" s="34" t="b">
        <f aca="false">TRUE()</f>
        <v>1</v>
      </c>
      <c r="AC4" s="35" t="n">
        <v>961</v>
      </c>
      <c r="AD4" s="35" t="n">
        <v>961</v>
      </c>
      <c r="AE4" s="2" t="s">
        <v>242</v>
      </c>
      <c r="AF4" s="35" t="n">
        <v>961</v>
      </c>
      <c r="AG4" s="34" t="b">
        <f aca="false">FALSE()</f>
        <v>0</v>
      </c>
      <c r="AH4" s="2"/>
    </row>
    <row r="5" customFormat="false" ht="15" hidden="false" customHeight="false" outlineLevel="0" collapsed="false">
      <c r="A5" s="2" t="s">
        <v>243</v>
      </c>
      <c r="B5" s="2" t="s">
        <v>244</v>
      </c>
      <c r="C5" s="2" t="n">
        <v>84</v>
      </c>
      <c r="D5" s="2" t="s">
        <v>150</v>
      </c>
      <c r="E5" s="2" t="s">
        <v>154</v>
      </c>
      <c r="F5" s="2" t="s">
        <v>233</v>
      </c>
      <c r="G5" s="2" t="s">
        <v>109</v>
      </c>
      <c r="H5" s="2" t="s">
        <v>239</v>
      </c>
      <c r="I5" s="2" t="s">
        <v>123</v>
      </c>
      <c r="J5" s="2" t="s">
        <v>130</v>
      </c>
      <c r="K5" s="2" t="s">
        <v>245</v>
      </c>
      <c r="L5" s="33" t="n">
        <v>45087</v>
      </c>
      <c r="M5" s="33" t="n">
        <v>45089</v>
      </c>
      <c r="N5" s="2" t="n">
        <v>2</v>
      </c>
      <c r="O5" s="2" t="s">
        <v>180</v>
      </c>
      <c r="P5" s="34" t="b">
        <f aca="false">FALSE()</f>
        <v>0</v>
      </c>
      <c r="Q5" s="34" t="b">
        <f aca="false">FALSE()</f>
        <v>0</v>
      </c>
      <c r="R5" s="2" t="n">
        <v>6</v>
      </c>
      <c r="S5" s="2" t="s">
        <v>162</v>
      </c>
      <c r="T5" s="2" t="s">
        <v>246</v>
      </c>
      <c r="U5" s="2" t="s">
        <v>171</v>
      </c>
      <c r="V5" s="34" t="b">
        <f aca="false">TRUE()</f>
        <v>1</v>
      </c>
      <c r="W5" s="2" t="s">
        <v>137</v>
      </c>
      <c r="X5" s="2" t="s">
        <v>235</v>
      </c>
      <c r="Y5" s="34" t="b">
        <f aca="false">FALSE()</f>
        <v>0</v>
      </c>
      <c r="Z5" s="2" t="s">
        <v>144</v>
      </c>
      <c r="AA5" s="2" t="s">
        <v>229</v>
      </c>
      <c r="AB5" s="34" t="b">
        <f aca="false">TRUE()</f>
        <v>1</v>
      </c>
      <c r="AC5" s="35" t="n">
        <v>1165</v>
      </c>
      <c r="AD5" s="35" t="n">
        <v>1165</v>
      </c>
      <c r="AE5" s="2" t="s">
        <v>242</v>
      </c>
      <c r="AF5" s="35" t="n">
        <v>582.5</v>
      </c>
      <c r="AG5" s="34" t="b">
        <f aca="false">FALSE()</f>
        <v>0</v>
      </c>
      <c r="AH5" s="2"/>
    </row>
    <row r="6" customFormat="false" ht="15" hidden="false" customHeight="false" outlineLevel="0" collapsed="false">
      <c r="A6" s="2" t="s">
        <v>247</v>
      </c>
      <c r="B6" s="2" t="s">
        <v>248</v>
      </c>
      <c r="C6" s="2" t="n">
        <v>58</v>
      </c>
      <c r="D6" s="2" t="s">
        <v>149</v>
      </c>
      <c r="E6" s="2" t="s">
        <v>153</v>
      </c>
      <c r="F6" s="2" t="s">
        <v>224</v>
      </c>
      <c r="G6" s="2" t="s">
        <v>109</v>
      </c>
      <c r="H6" s="2" t="s">
        <v>239</v>
      </c>
      <c r="I6" s="2" t="s">
        <v>123</v>
      </c>
      <c r="J6" s="2" t="s">
        <v>132</v>
      </c>
      <c r="K6" s="2" t="s">
        <v>249</v>
      </c>
      <c r="L6" s="33" t="n">
        <v>45084</v>
      </c>
      <c r="M6" s="33" t="n">
        <v>45088</v>
      </c>
      <c r="N6" s="2" t="n">
        <v>4</v>
      </c>
      <c r="O6" s="2" t="s">
        <v>181</v>
      </c>
      <c r="P6" s="34" t="b">
        <f aca="false">FALSE()</f>
        <v>0</v>
      </c>
      <c r="Q6" s="34" t="b">
        <f aca="false">FALSE()</f>
        <v>0</v>
      </c>
      <c r="R6" s="2" t="n">
        <v>6</v>
      </c>
      <c r="S6" s="2" t="s">
        <v>162</v>
      </c>
      <c r="T6" s="2" t="s">
        <v>246</v>
      </c>
      <c r="U6" s="2" t="s">
        <v>175</v>
      </c>
      <c r="V6" s="34" t="b">
        <f aca="false">FALSE()</f>
        <v>0</v>
      </c>
      <c r="W6" s="2" t="s">
        <v>138</v>
      </c>
      <c r="X6" s="2" t="s">
        <v>250</v>
      </c>
      <c r="Y6" s="34" t="b">
        <f aca="false">FALSE()</f>
        <v>0</v>
      </c>
      <c r="Z6" s="2" t="s">
        <v>144</v>
      </c>
      <c r="AA6" s="2" t="s">
        <v>229</v>
      </c>
      <c r="AB6" s="34" t="b">
        <f aca="false">TRUE()</f>
        <v>1</v>
      </c>
      <c r="AC6" s="35"/>
      <c r="AD6" s="35" t="n">
        <v>3852</v>
      </c>
      <c r="AE6" s="2" t="s">
        <v>230</v>
      </c>
      <c r="AF6" s="35"/>
      <c r="AG6" s="34" t="b">
        <f aca="false">FALSE()</f>
        <v>0</v>
      </c>
      <c r="AH6" s="2"/>
    </row>
    <row r="7" customFormat="false" ht="15" hidden="false" customHeight="false" outlineLevel="0" collapsed="false">
      <c r="A7" s="2" t="s">
        <v>251</v>
      </c>
      <c r="B7" s="2" t="s">
        <v>252</v>
      </c>
      <c r="C7" s="2" t="n">
        <v>17</v>
      </c>
      <c r="D7" s="2" t="s">
        <v>147</v>
      </c>
      <c r="E7" s="2" t="s">
        <v>153</v>
      </c>
      <c r="F7" s="2" t="s">
        <v>224</v>
      </c>
      <c r="G7" s="2" t="s">
        <v>109</v>
      </c>
      <c r="H7" s="2" t="s">
        <v>239</v>
      </c>
      <c r="I7" s="2" t="s">
        <v>123</v>
      </c>
      <c r="J7" s="2" t="s">
        <v>128</v>
      </c>
      <c r="K7" s="2" t="s">
        <v>226</v>
      </c>
      <c r="L7" s="33" t="n">
        <v>44962</v>
      </c>
      <c r="M7" s="33" t="n">
        <v>44971</v>
      </c>
      <c r="N7" s="2" t="n">
        <v>9</v>
      </c>
      <c r="O7" s="2" t="s">
        <v>182</v>
      </c>
      <c r="P7" s="34" t="b">
        <f aca="false">TRUE()</f>
        <v>1</v>
      </c>
      <c r="Q7" s="34" t="b">
        <f aca="false">FALSE()</f>
        <v>0</v>
      </c>
      <c r="R7" s="2" t="n">
        <v>2</v>
      </c>
      <c r="S7" s="2" t="s">
        <v>158</v>
      </c>
      <c r="T7" s="2" t="s">
        <v>234</v>
      </c>
      <c r="U7" s="2" t="s">
        <v>172</v>
      </c>
      <c r="V7" s="34" t="b">
        <f aca="false">FALSE()</f>
        <v>0</v>
      </c>
      <c r="W7" s="2" t="s">
        <v>138</v>
      </c>
      <c r="X7" s="2" t="s">
        <v>250</v>
      </c>
      <c r="Y7" s="34" t="b">
        <f aca="false">FALSE()</f>
        <v>0</v>
      </c>
      <c r="Z7" s="2" t="s">
        <v>143</v>
      </c>
      <c r="AA7" s="2" t="s">
        <v>236</v>
      </c>
      <c r="AB7" s="34" t="b">
        <f aca="false">FALSE()</f>
        <v>0</v>
      </c>
      <c r="AC7" s="35"/>
      <c r="AD7" s="35" t="n">
        <v>3852</v>
      </c>
      <c r="AE7" s="2" t="s">
        <v>230</v>
      </c>
      <c r="AF7" s="35"/>
      <c r="AG7" s="34" t="b">
        <f aca="false">FALSE()</f>
        <v>0</v>
      </c>
      <c r="AH7" s="2"/>
    </row>
    <row r="8" customFormat="false" ht="15" hidden="false" customHeight="false" outlineLevel="0" collapsed="false">
      <c r="A8" s="2" t="s">
        <v>253</v>
      </c>
      <c r="B8" s="2" t="s">
        <v>254</v>
      </c>
      <c r="C8" s="2" t="n">
        <v>85</v>
      </c>
      <c r="D8" s="2" t="s">
        <v>150</v>
      </c>
      <c r="E8" s="2" t="s">
        <v>154</v>
      </c>
      <c r="F8" s="2" t="s">
        <v>233</v>
      </c>
      <c r="G8" s="2" t="s">
        <v>109</v>
      </c>
      <c r="H8" s="2" t="s">
        <v>239</v>
      </c>
      <c r="I8" s="2" t="s">
        <v>123</v>
      </c>
      <c r="J8" s="2" t="s">
        <v>133</v>
      </c>
      <c r="K8" s="2" t="s">
        <v>255</v>
      </c>
      <c r="L8" s="33" t="n">
        <v>45285</v>
      </c>
      <c r="M8" s="33" t="n">
        <v>45287</v>
      </c>
      <c r="N8" s="2" t="n">
        <v>2</v>
      </c>
      <c r="O8" s="2" t="s">
        <v>180</v>
      </c>
      <c r="P8" s="34" t="b">
        <f aca="false">FALSE()</f>
        <v>0</v>
      </c>
      <c r="Q8" s="34" t="b">
        <f aca="false">FALSE()</f>
        <v>0</v>
      </c>
      <c r="R8" s="2" t="n">
        <v>12</v>
      </c>
      <c r="S8" s="2" t="s">
        <v>168</v>
      </c>
      <c r="T8" s="2" t="s">
        <v>241</v>
      </c>
      <c r="U8" s="2" t="s">
        <v>173</v>
      </c>
      <c r="V8" s="34" t="b">
        <f aca="false">FALSE()</f>
        <v>0</v>
      </c>
      <c r="W8" s="2" t="s">
        <v>137</v>
      </c>
      <c r="X8" s="2" t="s">
        <v>235</v>
      </c>
      <c r="Y8" s="34" t="b">
        <f aca="false">FALSE()</f>
        <v>0</v>
      </c>
      <c r="Z8" s="2" t="s">
        <v>142</v>
      </c>
      <c r="AA8" s="2" t="s">
        <v>256</v>
      </c>
      <c r="AB8" s="34" t="b">
        <f aca="false">FALSE()</f>
        <v>0</v>
      </c>
      <c r="AC8" s="35"/>
      <c r="AD8" s="35" t="n">
        <v>999</v>
      </c>
      <c r="AE8" s="2" t="s">
        <v>257</v>
      </c>
      <c r="AF8" s="35"/>
      <c r="AG8" s="34" t="b">
        <f aca="false">FALSE()</f>
        <v>0</v>
      </c>
      <c r="AH8" s="2"/>
    </row>
    <row r="9" customFormat="false" ht="15" hidden="false" customHeight="false" outlineLevel="0" collapsed="false">
      <c r="A9" s="2" t="s">
        <v>258</v>
      </c>
      <c r="B9" s="2" t="s">
        <v>259</v>
      </c>
      <c r="C9" s="2" t="n">
        <v>42</v>
      </c>
      <c r="D9" s="2" t="s">
        <v>149</v>
      </c>
      <c r="E9" s="2" t="s">
        <v>154</v>
      </c>
      <c r="F9" s="2" t="s">
        <v>233</v>
      </c>
      <c r="G9" s="2" t="s">
        <v>109</v>
      </c>
      <c r="H9" s="2" t="s">
        <v>239</v>
      </c>
      <c r="I9" s="2" t="s">
        <v>123</v>
      </c>
      <c r="J9" s="2" t="s">
        <v>129</v>
      </c>
      <c r="K9" s="2" t="s">
        <v>260</v>
      </c>
      <c r="L9" s="33" t="n">
        <v>45051</v>
      </c>
      <c r="M9" s="33" t="n">
        <v>45054</v>
      </c>
      <c r="N9" s="2" t="n">
        <v>3</v>
      </c>
      <c r="O9" s="2" t="s">
        <v>180</v>
      </c>
      <c r="P9" s="34" t="b">
        <f aca="false">FALSE()</f>
        <v>0</v>
      </c>
      <c r="Q9" s="34" t="b">
        <f aca="false">FALSE()</f>
        <v>0</v>
      </c>
      <c r="R9" s="2" t="n">
        <v>5</v>
      </c>
      <c r="S9" s="2" t="s">
        <v>161</v>
      </c>
      <c r="T9" s="2" t="s">
        <v>246</v>
      </c>
      <c r="U9" s="2" t="s">
        <v>177</v>
      </c>
      <c r="V9" s="34" t="b">
        <f aca="false">TRUE()</f>
        <v>1</v>
      </c>
      <c r="W9" s="2" t="s">
        <v>138</v>
      </c>
      <c r="X9" s="2" t="s">
        <v>250</v>
      </c>
      <c r="Y9" s="34" t="b">
        <f aca="false">FALSE()</f>
        <v>0</v>
      </c>
      <c r="Z9" s="2" t="s">
        <v>144</v>
      </c>
      <c r="AA9" s="2" t="s">
        <v>229</v>
      </c>
      <c r="AB9" s="34" t="b">
        <f aca="false">TRUE()</f>
        <v>1</v>
      </c>
      <c r="AC9" s="35"/>
      <c r="AD9" s="35" t="n">
        <v>999</v>
      </c>
      <c r="AE9" s="2" t="s">
        <v>257</v>
      </c>
      <c r="AF9" s="35"/>
      <c r="AG9" s="34" t="b">
        <f aca="false">FALSE()</f>
        <v>0</v>
      </c>
      <c r="AH9" s="2"/>
    </row>
    <row r="10" customFormat="false" ht="15" hidden="false" customHeight="false" outlineLevel="0" collapsed="false">
      <c r="A10" s="2" t="s">
        <v>261</v>
      </c>
      <c r="B10" s="2" t="s">
        <v>262</v>
      </c>
      <c r="C10" s="2" t="n">
        <v>18</v>
      </c>
      <c r="D10" s="2" t="s">
        <v>148</v>
      </c>
      <c r="E10" s="2" t="s">
        <v>153</v>
      </c>
      <c r="F10" s="2" t="s">
        <v>224</v>
      </c>
      <c r="G10" s="2" t="s">
        <v>109</v>
      </c>
      <c r="H10" s="2" t="s">
        <v>239</v>
      </c>
      <c r="I10" s="2" t="s">
        <v>123</v>
      </c>
      <c r="J10" s="2" t="s">
        <v>131</v>
      </c>
      <c r="K10" s="2" t="s">
        <v>263</v>
      </c>
      <c r="L10" s="33" t="n">
        <v>45217</v>
      </c>
      <c r="M10" s="33" t="n">
        <v>45219</v>
      </c>
      <c r="N10" s="2" t="n">
        <v>2</v>
      </c>
      <c r="O10" s="2" t="s">
        <v>180</v>
      </c>
      <c r="P10" s="34" t="b">
        <f aca="false">FALSE()</f>
        <v>0</v>
      </c>
      <c r="Q10" s="34" t="b">
        <f aca="false">FALSE()</f>
        <v>0</v>
      </c>
      <c r="R10" s="2" t="n">
        <v>10</v>
      </c>
      <c r="S10" s="2" t="s">
        <v>166</v>
      </c>
      <c r="T10" s="2" t="s">
        <v>241</v>
      </c>
      <c r="U10" s="2" t="s">
        <v>175</v>
      </c>
      <c r="V10" s="34" t="b">
        <f aca="false">FALSE()</f>
        <v>0</v>
      </c>
      <c r="W10" s="2" t="s">
        <v>137</v>
      </c>
      <c r="X10" s="2" t="s">
        <v>235</v>
      </c>
      <c r="Y10" s="34" t="b">
        <f aca="false">FALSE()</f>
        <v>0</v>
      </c>
      <c r="Z10" s="2" t="s">
        <v>144</v>
      </c>
      <c r="AA10" s="2" t="s">
        <v>229</v>
      </c>
      <c r="AB10" s="34" t="b">
        <f aca="false">TRUE()</f>
        <v>1</v>
      </c>
      <c r="AC10" s="35"/>
      <c r="AD10" s="35" t="n">
        <v>3852</v>
      </c>
      <c r="AE10" s="2" t="s">
        <v>230</v>
      </c>
      <c r="AF10" s="35"/>
      <c r="AG10" s="34" t="b">
        <f aca="false">FALSE()</f>
        <v>0</v>
      </c>
      <c r="AH10" s="2"/>
    </row>
    <row r="11" customFormat="false" ht="15" hidden="false" customHeight="false" outlineLevel="0" collapsed="false">
      <c r="A11" s="2" t="s">
        <v>264</v>
      </c>
      <c r="B11" s="2" t="s">
        <v>259</v>
      </c>
      <c r="C11" s="2" t="n">
        <v>40</v>
      </c>
      <c r="D11" s="2" t="s">
        <v>149</v>
      </c>
      <c r="E11" s="2" t="s">
        <v>153</v>
      </c>
      <c r="F11" s="2" t="s">
        <v>224</v>
      </c>
      <c r="G11" s="2" t="s">
        <v>109</v>
      </c>
      <c r="H11" s="2" t="s">
        <v>239</v>
      </c>
      <c r="I11" s="2" t="s">
        <v>123</v>
      </c>
      <c r="J11" s="2" t="s">
        <v>134</v>
      </c>
      <c r="K11" s="2" t="s">
        <v>240</v>
      </c>
      <c r="L11" s="33" t="n">
        <v>45112</v>
      </c>
      <c r="M11" s="33" t="n">
        <v>45113</v>
      </c>
      <c r="N11" s="2" t="n">
        <v>1</v>
      </c>
      <c r="O11" s="2" t="s">
        <v>180</v>
      </c>
      <c r="P11" s="34" t="b">
        <f aca="false">FALSE()</f>
        <v>0</v>
      </c>
      <c r="Q11" s="34" t="b">
        <f aca="false">FALSE()</f>
        <v>0</v>
      </c>
      <c r="R11" s="2" t="n">
        <v>7</v>
      </c>
      <c r="S11" s="2" t="s">
        <v>163</v>
      </c>
      <c r="T11" s="2" t="s">
        <v>227</v>
      </c>
      <c r="U11" s="2" t="s">
        <v>175</v>
      </c>
      <c r="V11" s="34" t="b">
        <f aca="false">FALSE()</f>
        <v>0</v>
      </c>
      <c r="W11" s="2" t="s">
        <v>137</v>
      </c>
      <c r="X11" s="2" t="s">
        <v>235</v>
      </c>
      <c r="Y11" s="34" t="b">
        <f aca="false">FALSE()</f>
        <v>0</v>
      </c>
      <c r="Z11" s="2" t="s">
        <v>142</v>
      </c>
      <c r="AA11" s="2" t="s">
        <v>256</v>
      </c>
      <c r="AB11" s="34" t="b">
        <f aca="false">FALSE()</f>
        <v>0</v>
      </c>
      <c r="AC11" s="35"/>
      <c r="AD11" s="35" t="n">
        <v>999</v>
      </c>
      <c r="AE11" s="2" t="s">
        <v>257</v>
      </c>
      <c r="AF11" s="35"/>
      <c r="AG11" s="34" t="b">
        <f aca="false">FALSE()</f>
        <v>0</v>
      </c>
      <c r="AH11" s="2"/>
    </row>
    <row r="12" customFormat="false" ht="15" hidden="false" customHeight="false" outlineLevel="0" collapsed="false">
      <c r="A12" s="2" t="s">
        <v>265</v>
      </c>
      <c r="B12" s="2" t="s">
        <v>266</v>
      </c>
      <c r="C12" s="2" t="n">
        <v>78</v>
      </c>
      <c r="D12" s="2" t="s">
        <v>150</v>
      </c>
      <c r="E12" s="2" t="s">
        <v>154</v>
      </c>
      <c r="F12" s="2" t="s">
        <v>233</v>
      </c>
      <c r="G12" s="2" t="s">
        <v>109</v>
      </c>
      <c r="H12" s="2" t="s">
        <v>239</v>
      </c>
      <c r="I12" s="2" t="s">
        <v>123</v>
      </c>
      <c r="J12" s="2" t="s">
        <v>130</v>
      </c>
      <c r="K12" s="2" t="s">
        <v>245</v>
      </c>
      <c r="L12" s="33" t="n">
        <v>45253</v>
      </c>
      <c r="M12" s="33" t="n">
        <v>45267</v>
      </c>
      <c r="N12" s="2" t="n">
        <v>14</v>
      </c>
      <c r="O12" s="2" t="s">
        <v>182</v>
      </c>
      <c r="P12" s="34" t="b">
        <f aca="false">TRUE()</f>
        <v>1</v>
      </c>
      <c r="Q12" s="34" t="b">
        <f aca="false">FALSE()</f>
        <v>0</v>
      </c>
      <c r="R12" s="2" t="n">
        <v>11</v>
      </c>
      <c r="S12" s="2" t="s">
        <v>167</v>
      </c>
      <c r="T12" s="2" t="s">
        <v>241</v>
      </c>
      <c r="U12" s="2" t="s">
        <v>176</v>
      </c>
      <c r="V12" s="34" t="b">
        <f aca="false">FALSE()</f>
        <v>0</v>
      </c>
      <c r="W12" s="2" t="s">
        <v>138</v>
      </c>
      <c r="X12" s="2" t="s">
        <v>250</v>
      </c>
      <c r="Y12" s="34" t="b">
        <f aca="false">FALSE()</f>
        <v>0</v>
      </c>
      <c r="Z12" s="2" t="s">
        <v>143</v>
      </c>
      <c r="AA12" s="2" t="s">
        <v>236</v>
      </c>
      <c r="AB12" s="34" t="b">
        <f aca="false">FALSE()</f>
        <v>0</v>
      </c>
      <c r="AC12" s="35"/>
      <c r="AD12" s="35" t="n">
        <v>999</v>
      </c>
      <c r="AE12" s="2" t="s">
        <v>257</v>
      </c>
      <c r="AF12" s="35"/>
      <c r="AG12" s="34" t="b">
        <f aca="false">FALSE()</f>
        <v>0</v>
      </c>
      <c r="AH12" s="2"/>
    </row>
    <row r="13" customFormat="false" ht="15" hidden="false" customHeight="false" outlineLevel="0" collapsed="false">
      <c r="A13" s="2" t="s">
        <v>267</v>
      </c>
      <c r="B13" s="2" t="s">
        <v>268</v>
      </c>
      <c r="C13" s="2" t="n">
        <v>11</v>
      </c>
      <c r="D13" s="2" t="s">
        <v>147</v>
      </c>
      <c r="E13" s="2" t="s">
        <v>154</v>
      </c>
      <c r="F13" s="2" t="s">
        <v>233</v>
      </c>
      <c r="G13" s="2" t="s">
        <v>109</v>
      </c>
      <c r="H13" s="2" t="s">
        <v>239</v>
      </c>
      <c r="I13" s="2" t="s">
        <v>123</v>
      </c>
      <c r="J13" s="2" t="s">
        <v>129</v>
      </c>
      <c r="K13" s="2" t="s">
        <v>260</v>
      </c>
      <c r="L13" s="33" t="n">
        <v>44948</v>
      </c>
      <c r="M13" s="33" t="n">
        <v>44961</v>
      </c>
      <c r="N13" s="2" t="n">
        <v>13</v>
      </c>
      <c r="O13" s="2" t="s">
        <v>182</v>
      </c>
      <c r="P13" s="34" t="b">
        <f aca="false">TRUE()</f>
        <v>1</v>
      </c>
      <c r="Q13" s="34" t="b">
        <f aca="false">FALSE()</f>
        <v>0</v>
      </c>
      <c r="R13" s="2" t="n">
        <v>1</v>
      </c>
      <c r="S13" s="2" t="s">
        <v>157</v>
      </c>
      <c r="T13" s="2" t="s">
        <v>234</v>
      </c>
      <c r="U13" s="2" t="s">
        <v>172</v>
      </c>
      <c r="V13" s="34" t="b">
        <f aca="false">FALSE()</f>
        <v>0</v>
      </c>
      <c r="W13" s="2" t="s">
        <v>139</v>
      </c>
      <c r="X13" s="2" t="s">
        <v>228</v>
      </c>
      <c r="Y13" s="34" t="b">
        <f aca="false">TRUE()</f>
        <v>1</v>
      </c>
      <c r="Z13" s="2" t="s">
        <v>144</v>
      </c>
      <c r="AA13" s="2" t="s">
        <v>229</v>
      </c>
      <c r="AB13" s="34" t="b">
        <f aca="false">TRUE()</f>
        <v>1</v>
      </c>
      <c r="AC13" s="35"/>
      <c r="AD13" s="35" t="n">
        <v>3852</v>
      </c>
      <c r="AE13" s="2" t="s">
        <v>230</v>
      </c>
      <c r="AF13" s="35"/>
      <c r="AG13" s="34" t="b">
        <f aca="false">FALSE()</f>
        <v>0</v>
      </c>
      <c r="AH13" s="2"/>
    </row>
    <row r="14" customFormat="false" ht="15" hidden="false" customHeight="false" outlineLevel="0" collapsed="false">
      <c r="A14" s="2" t="s">
        <v>269</v>
      </c>
      <c r="B14" s="2" t="s">
        <v>270</v>
      </c>
      <c r="C14" s="2" t="n">
        <v>50</v>
      </c>
      <c r="D14" s="2" t="s">
        <v>149</v>
      </c>
      <c r="E14" s="2" t="s">
        <v>153</v>
      </c>
      <c r="F14" s="2" t="s">
        <v>224</v>
      </c>
      <c r="G14" s="2" t="s">
        <v>109</v>
      </c>
      <c r="H14" s="2" t="s">
        <v>239</v>
      </c>
      <c r="I14" s="2" t="s">
        <v>123</v>
      </c>
      <c r="J14" s="2" t="s">
        <v>128</v>
      </c>
      <c r="K14" s="2" t="s">
        <v>226</v>
      </c>
      <c r="L14" s="33" t="n">
        <v>45253</v>
      </c>
      <c r="M14" s="33" t="n">
        <v>45257</v>
      </c>
      <c r="N14" s="2" t="n">
        <v>4</v>
      </c>
      <c r="O14" s="2" t="s">
        <v>181</v>
      </c>
      <c r="P14" s="34" t="b">
        <f aca="false">FALSE()</f>
        <v>0</v>
      </c>
      <c r="Q14" s="34" t="b">
        <f aca="false">FALSE()</f>
        <v>0</v>
      </c>
      <c r="R14" s="2" t="n">
        <v>11</v>
      </c>
      <c r="S14" s="2" t="s">
        <v>167</v>
      </c>
      <c r="T14" s="2" t="s">
        <v>241</v>
      </c>
      <c r="U14" s="2" t="s">
        <v>176</v>
      </c>
      <c r="V14" s="34" t="b">
        <f aca="false">FALSE()</f>
        <v>0</v>
      </c>
      <c r="W14" s="2" t="s">
        <v>137</v>
      </c>
      <c r="X14" s="2" t="s">
        <v>235</v>
      </c>
      <c r="Y14" s="34" t="b">
        <f aca="false">FALSE()</f>
        <v>0</v>
      </c>
      <c r="Z14" s="2" t="s">
        <v>143</v>
      </c>
      <c r="AA14" s="2" t="s">
        <v>236</v>
      </c>
      <c r="AB14" s="34" t="b">
        <f aca="false">FALSE()</f>
        <v>0</v>
      </c>
      <c r="AC14" s="35" t="n">
        <v>3898</v>
      </c>
      <c r="AD14" s="35" t="n">
        <v>3898</v>
      </c>
      <c r="AE14" s="2" t="s">
        <v>242</v>
      </c>
      <c r="AF14" s="35" t="n">
        <v>974.5</v>
      </c>
      <c r="AG14" s="34" t="b">
        <f aca="false">FALSE()</f>
        <v>0</v>
      </c>
      <c r="AH14" s="2"/>
    </row>
    <row r="15" customFormat="false" ht="15" hidden="false" customHeight="false" outlineLevel="0" collapsed="false">
      <c r="A15" s="2" t="s">
        <v>271</v>
      </c>
      <c r="B15" s="2" t="s">
        <v>272</v>
      </c>
      <c r="C15" s="2" t="n">
        <v>87</v>
      </c>
      <c r="D15" s="2" t="s">
        <v>150</v>
      </c>
      <c r="E15" s="2" t="s">
        <v>154</v>
      </c>
      <c r="F15" s="2" t="s">
        <v>233</v>
      </c>
      <c r="G15" s="2" t="s">
        <v>109</v>
      </c>
      <c r="H15" s="2" t="s">
        <v>239</v>
      </c>
      <c r="I15" s="2" t="s">
        <v>123</v>
      </c>
      <c r="J15" s="2" t="s">
        <v>133</v>
      </c>
      <c r="K15" s="2" t="s">
        <v>255</v>
      </c>
      <c r="L15" s="33" t="n">
        <v>45051</v>
      </c>
      <c r="M15" s="33" t="n">
        <v>45063</v>
      </c>
      <c r="N15" s="2" t="n">
        <v>12</v>
      </c>
      <c r="O15" s="2" t="s">
        <v>182</v>
      </c>
      <c r="P15" s="34" t="b">
        <f aca="false">TRUE()</f>
        <v>1</v>
      </c>
      <c r="Q15" s="34" t="b">
        <f aca="false">FALSE()</f>
        <v>0</v>
      </c>
      <c r="R15" s="2" t="n">
        <v>5</v>
      </c>
      <c r="S15" s="2" t="s">
        <v>161</v>
      </c>
      <c r="T15" s="2" t="s">
        <v>246</v>
      </c>
      <c r="U15" s="2" t="s">
        <v>177</v>
      </c>
      <c r="V15" s="34" t="b">
        <f aca="false">TRUE()</f>
        <v>1</v>
      </c>
      <c r="W15" s="2" t="s">
        <v>139</v>
      </c>
      <c r="X15" s="2" t="s">
        <v>228</v>
      </c>
      <c r="Y15" s="34" t="b">
        <f aca="false">TRUE()</f>
        <v>1</v>
      </c>
      <c r="Z15" s="2" t="s">
        <v>143</v>
      </c>
      <c r="AA15" s="2" t="s">
        <v>236</v>
      </c>
      <c r="AB15" s="34" t="b">
        <f aca="false">FALSE()</f>
        <v>0</v>
      </c>
      <c r="AC15" s="35"/>
      <c r="AD15" s="35" t="n">
        <v>3852</v>
      </c>
      <c r="AE15" s="2" t="s">
        <v>230</v>
      </c>
      <c r="AF15" s="35"/>
      <c r="AG15" s="34" t="b">
        <f aca="false">FALSE()</f>
        <v>0</v>
      </c>
      <c r="AH15" s="2"/>
    </row>
    <row r="16" customFormat="false" ht="15" hidden="false" customHeight="false" outlineLevel="0" collapsed="false">
      <c r="A16" s="2" t="s">
        <v>273</v>
      </c>
      <c r="B16" s="2" t="s">
        <v>274</v>
      </c>
      <c r="C16" s="2" t="n">
        <v>69</v>
      </c>
      <c r="D16" s="2" t="s">
        <v>150</v>
      </c>
      <c r="E16" s="2" t="s">
        <v>154</v>
      </c>
      <c r="F16" s="2" t="s">
        <v>233</v>
      </c>
      <c r="G16" s="2" t="s">
        <v>111</v>
      </c>
      <c r="H16" s="2" t="s">
        <v>275</v>
      </c>
      <c r="I16" s="2" t="s">
        <v>122</v>
      </c>
      <c r="J16" s="2" t="s">
        <v>132</v>
      </c>
      <c r="K16" s="2" t="s">
        <v>249</v>
      </c>
      <c r="L16" s="33" t="n">
        <v>44979</v>
      </c>
      <c r="M16" s="33" t="n">
        <v>44982</v>
      </c>
      <c r="N16" s="2" t="n">
        <v>3</v>
      </c>
      <c r="O16" s="2" t="s">
        <v>180</v>
      </c>
      <c r="P16" s="34" t="b">
        <f aca="false">FALSE()</f>
        <v>0</v>
      </c>
      <c r="Q16" s="34" t="b">
        <f aca="false">FALSE()</f>
        <v>0</v>
      </c>
      <c r="R16" s="2" t="n">
        <v>2</v>
      </c>
      <c r="S16" s="2" t="s">
        <v>158</v>
      </c>
      <c r="T16" s="2" t="s">
        <v>234</v>
      </c>
      <c r="U16" s="2" t="s">
        <v>175</v>
      </c>
      <c r="V16" s="34" t="b">
        <f aca="false">FALSE()</f>
        <v>0</v>
      </c>
      <c r="W16" s="2" t="s">
        <v>137</v>
      </c>
      <c r="X16" s="2" t="s">
        <v>235</v>
      </c>
      <c r="Y16" s="34" t="b">
        <f aca="false">FALSE()</f>
        <v>0</v>
      </c>
      <c r="Z16" s="2" t="s">
        <v>143</v>
      </c>
      <c r="AA16" s="2" t="s">
        <v>236</v>
      </c>
      <c r="AB16" s="34" t="b">
        <f aca="false">FALSE()</f>
        <v>0</v>
      </c>
      <c r="AC16" s="35" t="n">
        <v>2390</v>
      </c>
      <c r="AD16" s="35" t="n">
        <v>2390</v>
      </c>
      <c r="AE16" s="2" t="s">
        <v>242</v>
      </c>
      <c r="AF16" s="35" t="n">
        <v>796.67</v>
      </c>
      <c r="AG16" s="34" t="b">
        <f aca="false">FALSE()</f>
        <v>0</v>
      </c>
      <c r="AH16" s="2"/>
    </row>
    <row r="17" customFormat="false" ht="15" hidden="false" customHeight="false" outlineLevel="0" collapsed="false">
      <c r="A17" s="2" t="s">
        <v>276</v>
      </c>
      <c r="B17" s="2" t="s">
        <v>277</v>
      </c>
      <c r="C17" s="2" t="n">
        <v>80</v>
      </c>
      <c r="D17" s="2" t="s">
        <v>150</v>
      </c>
      <c r="E17" s="2" t="s">
        <v>154</v>
      </c>
      <c r="F17" s="2" t="s">
        <v>233</v>
      </c>
      <c r="G17" s="2" t="s">
        <v>111</v>
      </c>
      <c r="H17" s="2" t="s">
        <v>275</v>
      </c>
      <c r="I17" s="2" t="s">
        <v>122</v>
      </c>
      <c r="J17" s="2" t="s">
        <v>128</v>
      </c>
      <c r="K17" s="2" t="s">
        <v>226</v>
      </c>
      <c r="L17" s="33" t="n">
        <v>45105</v>
      </c>
      <c r="M17" s="33" t="n">
        <v>45114</v>
      </c>
      <c r="N17" s="2" t="n">
        <v>9</v>
      </c>
      <c r="O17" s="2" t="s">
        <v>182</v>
      </c>
      <c r="P17" s="34" t="b">
        <f aca="false">TRUE()</f>
        <v>1</v>
      </c>
      <c r="Q17" s="34" t="b">
        <f aca="false">FALSE()</f>
        <v>0</v>
      </c>
      <c r="R17" s="2" t="n">
        <v>6</v>
      </c>
      <c r="S17" s="2" t="s">
        <v>162</v>
      </c>
      <c r="T17" s="2" t="s">
        <v>246</v>
      </c>
      <c r="U17" s="2" t="s">
        <v>175</v>
      </c>
      <c r="V17" s="34" t="b">
        <f aca="false">FALSE()</f>
        <v>0</v>
      </c>
      <c r="W17" s="2" t="s">
        <v>137</v>
      </c>
      <c r="X17" s="2" t="s">
        <v>235</v>
      </c>
      <c r="Y17" s="34" t="b">
        <f aca="false">FALSE()</f>
        <v>0</v>
      </c>
      <c r="Z17" s="2" t="s">
        <v>144</v>
      </c>
      <c r="AA17" s="2" t="s">
        <v>229</v>
      </c>
      <c r="AB17" s="34" t="b">
        <f aca="false">TRUE()</f>
        <v>1</v>
      </c>
      <c r="AC17" s="35"/>
      <c r="AD17" s="35" t="n">
        <v>999</v>
      </c>
      <c r="AE17" s="2" t="s">
        <v>257</v>
      </c>
      <c r="AF17" s="35"/>
      <c r="AG17" s="34" t="b">
        <f aca="false">FALSE()</f>
        <v>0</v>
      </c>
      <c r="AH17" s="2"/>
    </row>
    <row r="18" customFormat="false" ht="15" hidden="false" customHeight="false" outlineLevel="0" collapsed="false">
      <c r="A18" s="2" t="s">
        <v>278</v>
      </c>
      <c r="B18" s="2" t="s">
        <v>266</v>
      </c>
      <c r="C18" s="2" t="n">
        <v>21</v>
      </c>
      <c r="D18" s="2" t="s">
        <v>148</v>
      </c>
      <c r="E18" s="2" t="s">
        <v>153</v>
      </c>
      <c r="F18" s="2" t="s">
        <v>224</v>
      </c>
      <c r="G18" s="2" t="s">
        <v>109</v>
      </c>
      <c r="H18" s="2" t="s">
        <v>239</v>
      </c>
      <c r="I18" s="2" t="s">
        <v>123</v>
      </c>
      <c r="J18" s="2" t="s">
        <v>130</v>
      </c>
      <c r="K18" s="2" t="s">
        <v>245</v>
      </c>
      <c r="L18" s="33" t="n">
        <v>45089</v>
      </c>
      <c r="M18" s="33" t="n">
        <v>45090</v>
      </c>
      <c r="N18" s="2" t="n">
        <v>1</v>
      </c>
      <c r="O18" s="2" t="s">
        <v>180</v>
      </c>
      <c r="P18" s="34" t="b">
        <f aca="false">FALSE()</f>
        <v>0</v>
      </c>
      <c r="Q18" s="34" t="b">
        <f aca="false">FALSE()</f>
        <v>0</v>
      </c>
      <c r="R18" s="2" t="n">
        <v>6</v>
      </c>
      <c r="S18" s="2" t="s">
        <v>162</v>
      </c>
      <c r="T18" s="2" t="s">
        <v>246</v>
      </c>
      <c r="U18" s="2" t="s">
        <v>173</v>
      </c>
      <c r="V18" s="34" t="b">
        <f aca="false">FALSE()</f>
        <v>0</v>
      </c>
      <c r="W18" s="2" t="s">
        <v>139</v>
      </c>
      <c r="X18" s="2" t="s">
        <v>228</v>
      </c>
      <c r="Y18" s="34" t="b">
        <f aca="false">TRUE()</f>
        <v>1</v>
      </c>
      <c r="Z18" s="2" t="s">
        <v>143</v>
      </c>
      <c r="AA18" s="2" t="s">
        <v>236</v>
      </c>
      <c r="AB18" s="34" t="b">
        <f aca="false">FALSE()</f>
        <v>0</v>
      </c>
      <c r="AC18" s="35"/>
      <c r="AD18" s="35" t="n">
        <v>999</v>
      </c>
      <c r="AE18" s="2" t="s">
        <v>257</v>
      </c>
      <c r="AF18" s="35"/>
      <c r="AG18" s="34" t="b">
        <f aca="false">FALSE()</f>
        <v>0</v>
      </c>
      <c r="AH18" s="2"/>
    </row>
    <row r="19" customFormat="false" ht="15" hidden="false" customHeight="false" outlineLevel="0" collapsed="false">
      <c r="A19" s="2" t="s">
        <v>279</v>
      </c>
      <c r="B19" s="2" t="s">
        <v>280</v>
      </c>
      <c r="C19" s="2" t="n">
        <v>7</v>
      </c>
      <c r="D19" s="2" t="s">
        <v>147</v>
      </c>
      <c r="E19" s="2" t="s">
        <v>154</v>
      </c>
      <c r="F19" s="2" t="s">
        <v>233</v>
      </c>
      <c r="G19" s="2" t="s">
        <v>109</v>
      </c>
      <c r="H19" s="2" t="s">
        <v>239</v>
      </c>
      <c r="I19" s="2" t="s">
        <v>123</v>
      </c>
      <c r="J19" s="2" t="s">
        <v>130</v>
      </c>
      <c r="K19" s="2" t="s">
        <v>245</v>
      </c>
      <c r="L19" s="33" t="n">
        <v>45069</v>
      </c>
      <c r="M19" s="33" t="n">
        <v>45072</v>
      </c>
      <c r="N19" s="2" t="n">
        <v>3</v>
      </c>
      <c r="O19" s="2" t="s">
        <v>180</v>
      </c>
      <c r="P19" s="34" t="b">
        <f aca="false">FALSE()</f>
        <v>0</v>
      </c>
      <c r="Q19" s="34" t="b">
        <f aca="false">FALSE()</f>
        <v>0</v>
      </c>
      <c r="R19" s="2" t="n">
        <v>5</v>
      </c>
      <c r="S19" s="2" t="s">
        <v>161</v>
      </c>
      <c r="T19" s="2" t="s">
        <v>246</v>
      </c>
      <c r="U19" s="2" t="s">
        <v>174</v>
      </c>
      <c r="V19" s="34" t="b">
        <f aca="false">FALSE()</f>
        <v>0</v>
      </c>
      <c r="W19" s="2" t="s">
        <v>137</v>
      </c>
      <c r="X19" s="2" t="s">
        <v>235</v>
      </c>
      <c r="Y19" s="34" t="b">
        <f aca="false">FALSE()</f>
        <v>0</v>
      </c>
      <c r="Z19" s="2" t="s">
        <v>142</v>
      </c>
      <c r="AA19" s="2" t="s">
        <v>256</v>
      </c>
      <c r="AB19" s="34" t="b">
        <f aca="false">FALSE()</f>
        <v>0</v>
      </c>
      <c r="AC19" s="35" t="n">
        <v>973</v>
      </c>
      <c r="AD19" s="35" t="n">
        <v>973</v>
      </c>
      <c r="AE19" s="2" t="s">
        <v>242</v>
      </c>
      <c r="AF19" s="35" t="n">
        <v>324.33</v>
      </c>
      <c r="AG19" s="34" t="b">
        <f aca="false">FALSE()</f>
        <v>0</v>
      </c>
      <c r="AH19" s="2"/>
    </row>
    <row r="20" customFormat="false" ht="15" hidden="false" customHeight="false" outlineLevel="0" collapsed="false">
      <c r="A20" s="2" t="s">
        <v>281</v>
      </c>
      <c r="B20" s="2" t="s">
        <v>282</v>
      </c>
      <c r="C20" s="2" t="n">
        <v>45</v>
      </c>
      <c r="D20" s="2" t="s">
        <v>149</v>
      </c>
      <c r="E20" s="2" t="s">
        <v>154</v>
      </c>
      <c r="F20" s="2" t="s">
        <v>233</v>
      </c>
      <c r="G20" s="2" t="s">
        <v>109</v>
      </c>
      <c r="H20" s="2" t="s">
        <v>239</v>
      </c>
      <c r="I20" s="2" t="s">
        <v>123</v>
      </c>
      <c r="J20" s="2" t="s">
        <v>129</v>
      </c>
      <c r="K20" s="2" t="s">
        <v>260</v>
      </c>
      <c r="L20" s="33" t="n">
        <v>45235</v>
      </c>
      <c r="M20" s="33" t="n">
        <v>45252</v>
      </c>
      <c r="N20" s="2" t="n">
        <v>17</v>
      </c>
      <c r="O20" s="2" t="s">
        <v>183</v>
      </c>
      <c r="P20" s="34" t="b">
        <f aca="false">TRUE()</f>
        <v>1</v>
      </c>
      <c r="Q20" s="34" t="b">
        <f aca="false">FALSE()</f>
        <v>0</v>
      </c>
      <c r="R20" s="2" t="n">
        <v>11</v>
      </c>
      <c r="S20" s="2" t="s">
        <v>167</v>
      </c>
      <c r="T20" s="2" t="s">
        <v>241</v>
      </c>
      <c r="U20" s="2" t="s">
        <v>172</v>
      </c>
      <c r="V20" s="34" t="b">
        <f aca="false">FALSE()</f>
        <v>0</v>
      </c>
      <c r="W20" s="2" t="s">
        <v>137</v>
      </c>
      <c r="X20" s="2" t="s">
        <v>235</v>
      </c>
      <c r="Y20" s="34" t="b">
        <f aca="false">FALSE()</f>
        <v>0</v>
      </c>
      <c r="Z20" s="2" t="s">
        <v>142</v>
      </c>
      <c r="AA20" s="2" t="s">
        <v>256</v>
      </c>
      <c r="AB20" s="34" t="b">
        <f aca="false">FALSE()</f>
        <v>0</v>
      </c>
      <c r="AC20" s="35"/>
      <c r="AD20" s="35" t="n">
        <v>999</v>
      </c>
      <c r="AE20" s="2" t="s">
        <v>257</v>
      </c>
      <c r="AF20" s="35"/>
      <c r="AG20" s="34" t="b">
        <f aca="false">FALSE()</f>
        <v>0</v>
      </c>
      <c r="AH20" s="2" t="s">
        <v>283</v>
      </c>
    </row>
    <row r="21" customFormat="false" ht="15" hidden="false" customHeight="false" outlineLevel="0" collapsed="false">
      <c r="A21" s="2" t="s">
        <v>284</v>
      </c>
      <c r="B21" s="2" t="s">
        <v>285</v>
      </c>
      <c r="C21" s="2" t="n">
        <v>21</v>
      </c>
      <c r="D21" s="2" t="s">
        <v>148</v>
      </c>
      <c r="E21" s="2" t="s">
        <v>153</v>
      </c>
      <c r="F21" s="2" t="s">
        <v>224</v>
      </c>
      <c r="G21" s="2" t="s">
        <v>109</v>
      </c>
      <c r="H21" s="2" t="s">
        <v>239</v>
      </c>
      <c r="I21" s="2" t="s">
        <v>123</v>
      </c>
      <c r="J21" s="2" t="s">
        <v>132</v>
      </c>
      <c r="K21" s="2" t="s">
        <v>249</v>
      </c>
      <c r="L21" s="33" t="n">
        <v>45140</v>
      </c>
      <c r="M21" s="33" t="n">
        <v>45144</v>
      </c>
      <c r="N21" s="2" t="n">
        <v>4</v>
      </c>
      <c r="O21" s="2" t="s">
        <v>181</v>
      </c>
      <c r="P21" s="34" t="b">
        <f aca="false">FALSE()</f>
        <v>0</v>
      </c>
      <c r="Q21" s="34" t="b">
        <f aca="false">FALSE()</f>
        <v>0</v>
      </c>
      <c r="R21" s="2" t="n">
        <v>8</v>
      </c>
      <c r="S21" s="2" t="s">
        <v>164</v>
      </c>
      <c r="T21" s="2" t="s">
        <v>227</v>
      </c>
      <c r="U21" s="2" t="s">
        <v>175</v>
      </c>
      <c r="V21" s="34" t="b">
        <f aca="false">FALSE()</f>
        <v>0</v>
      </c>
      <c r="W21" s="2" t="s">
        <v>137</v>
      </c>
      <c r="X21" s="2" t="s">
        <v>235</v>
      </c>
      <c r="Y21" s="34" t="b">
        <f aca="false">FALSE()</f>
        <v>0</v>
      </c>
      <c r="Z21" s="2" t="s">
        <v>144</v>
      </c>
      <c r="AA21" s="2" t="s">
        <v>229</v>
      </c>
      <c r="AB21" s="34" t="b">
        <f aca="false">TRUE()</f>
        <v>1</v>
      </c>
      <c r="AC21" s="35"/>
      <c r="AD21" s="35" t="n">
        <v>999</v>
      </c>
      <c r="AE21" s="2" t="s">
        <v>257</v>
      </c>
      <c r="AF21" s="35"/>
      <c r="AG21" s="34" t="b">
        <f aca="false">FALSE()</f>
        <v>0</v>
      </c>
      <c r="AH21" s="2"/>
    </row>
    <row r="22" customFormat="false" ht="15" hidden="false" customHeight="false" outlineLevel="0" collapsed="false">
      <c r="A22" s="2" t="s">
        <v>286</v>
      </c>
      <c r="B22" s="2" t="s">
        <v>287</v>
      </c>
      <c r="C22" s="2" t="n">
        <v>72</v>
      </c>
      <c r="D22" s="2" t="s">
        <v>150</v>
      </c>
      <c r="E22" s="2" t="s">
        <v>153</v>
      </c>
      <c r="F22" s="2" t="s">
        <v>224</v>
      </c>
      <c r="G22" s="2" t="s">
        <v>109</v>
      </c>
      <c r="H22" s="2" t="s">
        <v>239</v>
      </c>
      <c r="I22" s="2" t="s">
        <v>123</v>
      </c>
      <c r="J22" s="2" t="s">
        <v>134</v>
      </c>
      <c r="K22" s="2" t="s">
        <v>240</v>
      </c>
      <c r="L22" s="33" t="n">
        <v>45088</v>
      </c>
      <c r="M22" s="33" t="n">
        <v>45092</v>
      </c>
      <c r="N22" s="2" t="n">
        <v>4</v>
      </c>
      <c r="O22" s="2" t="s">
        <v>181</v>
      </c>
      <c r="P22" s="34" t="b">
        <f aca="false">FALSE()</f>
        <v>0</v>
      </c>
      <c r="Q22" s="34" t="b">
        <f aca="false">FALSE()</f>
        <v>0</v>
      </c>
      <c r="R22" s="2" t="n">
        <v>6</v>
      </c>
      <c r="S22" s="2" t="s">
        <v>162</v>
      </c>
      <c r="T22" s="2" t="s">
        <v>246</v>
      </c>
      <c r="U22" s="2" t="s">
        <v>172</v>
      </c>
      <c r="V22" s="34" t="b">
        <f aca="false">FALSE()</f>
        <v>0</v>
      </c>
      <c r="W22" s="2" t="s">
        <v>139</v>
      </c>
      <c r="X22" s="2" t="s">
        <v>228</v>
      </c>
      <c r="Y22" s="34" t="b">
        <f aca="false">TRUE()</f>
        <v>1</v>
      </c>
      <c r="Z22" s="2" t="s">
        <v>142</v>
      </c>
      <c r="AA22" s="2" t="s">
        <v>256</v>
      </c>
      <c r="AB22" s="34" t="b">
        <f aca="false">FALSE()</f>
        <v>0</v>
      </c>
      <c r="AC22" s="35" t="n">
        <v>1665</v>
      </c>
      <c r="AD22" s="35" t="n">
        <v>1665</v>
      </c>
      <c r="AE22" s="2" t="s">
        <v>242</v>
      </c>
      <c r="AF22" s="35" t="n">
        <v>416.25</v>
      </c>
      <c r="AG22" s="34" t="b">
        <f aca="false">FALSE()</f>
        <v>0</v>
      </c>
      <c r="AH22" s="2"/>
    </row>
    <row r="23" customFormat="false" ht="15" hidden="false" customHeight="false" outlineLevel="0" collapsed="false">
      <c r="A23" s="2" t="s">
        <v>288</v>
      </c>
      <c r="B23" s="2" t="s">
        <v>289</v>
      </c>
      <c r="C23" s="2" t="n">
        <v>82</v>
      </c>
      <c r="D23" s="2" t="s">
        <v>150</v>
      </c>
      <c r="E23" s="2" t="s">
        <v>153</v>
      </c>
      <c r="F23" s="2" t="s">
        <v>224</v>
      </c>
      <c r="G23" s="2" t="s">
        <v>109</v>
      </c>
      <c r="H23" s="2" t="s">
        <v>239</v>
      </c>
      <c r="I23" s="2" t="s">
        <v>123</v>
      </c>
      <c r="J23" s="2" t="s">
        <v>131</v>
      </c>
      <c r="K23" s="2" t="s">
        <v>263</v>
      </c>
      <c r="L23" s="33" t="n">
        <v>45055</v>
      </c>
      <c r="M23" s="33" t="n">
        <v>45069</v>
      </c>
      <c r="N23" s="2" t="n">
        <v>14</v>
      </c>
      <c r="O23" s="2" t="s">
        <v>182</v>
      </c>
      <c r="P23" s="34" t="b">
        <f aca="false">TRUE()</f>
        <v>1</v>
      </c>
      <c r="Q23" s="34" t="b">
        <f aca="false">FALSE()</f>
        <v>0</v>
      </c>
      <c r="R23" s="2" t="n">
        <v>5</v>
      </c>
      <c r="S23" s="2" t="s">
        <v>161</v>
      </c>
      <c r="T23" s="2" t="s">
        <v>246</v>
      </c>
      <c r="U23" s="2" t="s">
        <v>174</v>
      </c>
      <c r="V23" s="34" t="b">
        <f aca="false">FALSE()</f>
        <v>0</v>
      </c>
      <c r="W23" s="2" t="s">
        <v>137</v>
      </c>
      <c r="X23" s="2" t="s">
        <v>235</v>
      </c>
      <c r="Y23" s="34" t="b">
        <f aca="false">FALSE()</f>
        <v>0</v>
      </c>
      <c r="Z23" s="2" t="s">
        <v>142</v>
      </c>
      <c r="AA23" s="2" t="s">
        <v>256</v>
      </c>
      <c r="AB23" s="34" t="b">
        <f aca="false">FALSE()</f>
        <v>0</v>
      </c>
      <c r="AC23" s="35"/>
      <c r="AD23" s="35" t="n">
        <v>3852</v>
      </c>
      <c r="AE23" s="2" t="s">
        <v>230</v>
      </c>
      <c r="AF23" s="35"/>
      <c r="AG23" s="34" t="b">
        <f aca="false">FALSE()</f>
        <v>0</v>
      </c>
      <c r="AH23" s="2"/>
    </row>
    <row r="24" customFormat="false" ht="15" hidden="false" customHeight="false" outlineLevel="0" collapsed="false">
      <c r="A24" s="2" t="s">
        <v>290</v>
      </c>
      <c r="B24" s="2" t="s">
        <v>291</v>
      </c>
      <c r="C24" s="2" t="n">
        <v>67</v>
      </c>
      <c r="D24" s="2" t="s">
        <v>150</v>
      </c>
      <c r="E24" s="2" t="s">
        <v>153</v>
      </c>
      <c r="F24" s="2" t="s">
        <v>224</v>
      </c>
      <c r="G24" s="2" t="s">
        <v>109</v>
      </c>
      <c r="H24" s="2" t="s">
        <v>239</v>
      </c>
      <c r="I24" s="2" t="s">
        <v>123</v>
      </c>
      <c r="J24" s="2" t="s">
        <v>128</v>
      </c>
      <c r="K24" s="2" t="s">
        <v>226</v>
      </c>
      <c r="L24" s="33" t="n">
        <v>45111</v>
      </c>
      <c r="M24" s="33" t="n">
        <v>45117</v>
      </c>
      <c r="N24" s="2" t="n">
        <v>6</v>
      </c>
      <c r="O24" s="2" t="s">
        <v>181</v>
      </c>
      <c r="P24" s="34" t="b">
        <f aca="false">FALSE()</f>
        <v>0</v>
      </c>
      <c r="Q24" s="34" t="b">
        <f aca="false">FALSE()</f>
        <v>0</v>
      </c>
      <c r="R24" s="2" t="n">
        <v>7</v>
      </c>
      <c r="S24" s="2" t="s">
        <v>163</v>
      </c>
      <c r="T24" s="2" t="s">
        <v>227</v>
      </c>
      <c r="U24" s="2" t="s">
        <v>174</v>
      </c>
      <c r="V24" s="34" t="b">
        <f aca="false">FALSE()</f>
        <v>0</v>
      </c>
      <c r="W24" s="2" t="s">
        <v>138</v>
      </c>
      <c r="X24" s="2" t="s">
        <v>250</v>
      </c>
      <c r="Y24" s="34" t="b">
        <f aca="false">FALSE()</f>
        <v>0</v>
      </c>
      <c r="Z24" s="2" t="s">
        <v>142</v>
      </c>
      <c r="AA24" s="2" t="s">
        <v>256</v>
      </c>
      <c r="AB24" s="34" t="b">
        <f aca="false">FALSE()</f>
        <v>0</v>
      </c>
      <c r="AC24" s="35"/>
      <c r="AD24" s="35" t="n">
        <v>3852</v>
      </c>
      <c r="AE24" s="2" t="s">
        <v>230</v>
      </c>
      <c r="AF24" s="35"/>
      <c r="AG24" s="34" t="b">
        <f aca="false">FALSE()</f>
        <v>0</v>
      </c>
      <c r="AH24" s="2"/>
    </row>
    <row r="25" customFormat="false" ht="15" hidden="false" customHeight="false" outlineLevel="0" collapsed="false">
      <c r="A25" s="2" t="s">
        <v>292</v>
      </c>
      <c r="B25" s="2" t="s">
        <v>293</v>
      </c>
      <c r="C25" s="2" t="n">
        <v>44</v>
      </c>
      <c r="D25" s="2" t="s">
        <v>149</v>
      </c>
      <c r="E25" s="2" t="s">
        <v>153</v>
      </c>
      <c r="F25" s="2" t="s">
        <v>224</v>
      </c>
      <c r="G25" s="2" t="s">
        <v>109</v>
      </c>
      <c r="H25" s="2" t="s">
        <v>239</v>
      </c>
      <c r="I25" s="2" t="s">
        <v>123</v>
      </c>
      <c r="J25" s="2" t="s">
        <v>128</v>
      </c>
      <c r="K25" s="2" t="s">
        <v>226</v>
      </c>
      <c r="L25" s="33" t="n">
        <v>45244</v>
      </c>
      <c r="M25" s="33" t="n">
        <v>45245</v>
      </c>
      <c r="N25" s="2" t="n">
        <v>1</v>
      </c>
      <c r="O25" s="2" t="s">
        <v>180</v>
      </c>
      <c r="P25" s="34" t="b">
        <f aca="false">FALSE()</f>
        <v>0</v>
      </c>
      <c r="Q25" s="34" t="b">
        <f aca="false">FALSE()</f>
        <v>0</v>
      </c>
      <c r="R25" s="2" t="n">
        <v>11</v>
      </c>
      <c r="S25" s="2" t="s">
        <v>167</v>
      </c>
      <c r="T25" s="2" t="s">
        <v>241</v>
      </c>
      <c r="U25" s="2" t="s">
        <v>174</v>
      </c>
      <c r="V25" s="34" t="b">
        <f aca="false">FALSE()</f>
        <v>0</v>
      </c>
      <c r="W25" s="2" t="s">
        <v>137</v>
      </c>
      <c r="X25" s="2" t="s">
        <v>235</v>
      </c>
      <c r="Y25" s="34" t="b">
        <f aca="false">FALSE()</f>
        <v>0</v>
      </c>
      <c r="Z25" s="2" t="s">
        <v>142</v>
      </c>
      <c r="AA25" s="2" t="s">
        <v>256</v>
      </c>
      <c r="AB25" s="34" t="b">
        <f aca="false">FALSE()</f>
        <v>0</v>
      </c>
      <c r="AC25" s="35"/>
      <c r="AD25" s="35" t="n">
        <v>3852</v>
      </c>
      <c r="AE25" s="2" t="s">
        <v>230</v>
      </c>
      <c r="AF25" s="35"/>
      <c r="AG25" s="34" t="b">
        <f aca="false">FALSE()</f>
        <v>0</v>
      </c>
      <c r="AH25" s="2"/>
    </row>
    <row r="26" customFormat="false" ht="15" hidden="false" customHeight="false" outlineLevel="0" collapsed="false">
      <c r="A26" s="2" t="s">
        <v>294</v>
      </c>
      <c r="B26" s="2" t="s">
        <v>272</v>
      </c>
      <c r="C26" s="2" t="n">
        <v>31</v>
      </c>
      <c r="D26" s="2" t="s">
        <v>148</v>
      </c>
      <c r="E26" s="2" t="s">
        <v>153</v>
      </c>
      <c r="F26" s="2" t="s">
        <v>224</v>
      </c>
      <c r="G26" s="2" t="s">
        <v>109</v>
      </c>
      <c r="H26" s="2" t="s">
        <v>239</v>
      </c>
      <c r="I26" s="2" t="s">
        <v>123</v>
      </c>
      <c r="J26" s="2" t="s">
        <v>130</v>
      </c>
      <c r="K26" s="2" t="s">
        <v>245</v>
      </c>
      <c r="L26" s="33" t="n">
        <v>45018</v>
      </c>
      <c r="M26" s="33" t="n">
        <v>45029</v>
      </c>
      <c r="N26" s="2" t="n">
        <v>11</v>
      </c>
      <c r="O26" s="2" t="s">
        <v>182</v>
      </c>
      <c r="P26" s="34" t="b">
        <f aca="false">TRUE()</f>
        <v>1</v>
      </c>
      <c r="Q26" s="34" t="b">
        <f aca="false">FALSE()</f>
        <v>0</v>
      </c>
      <c r="R26" s="2" t="n">
        <v>4</v>
      </c>
      <c r="S26" s="2" t="s">
        <v>160</v>
      </c>
      <c r="T26" s="2" t="s">
        <v>246</v>
      </c>
      <c r="U26" s="2" t="s">
        <v>172</v>
      </c>
      <c r="V26" s="34" t="b">
        <f aca="false">FALSE()</f>
        <v>0</v>
      </c>
      <c r="W26" s="2" t="s">
        <v>138</v>
      </c>
      <c r="X26" s="2" t="s">
        <v>250</v>
      </c>
      <c r="Y26" s="34" t="b">
        <f aca="false">FALSE()</f>
        <v>0</v>
      </c>
      <c r="Z26" s="2" t="s">
        <v>143</v>
      </c>
      <c r="AA26" s="2" t="s">
        <v>236</v>
      </c>
      <c r="AB26" s="34" t="b">
        <f aca="false">FALSE()</f>
        <v>0</v>
      </c>
      <c r="AC26" s="35"/>
      <c r="AD26" s="35" t="n">
        <v>3852</v>
      </c>
      <c r="AE26" s="2" t="s">
        <v>230</v>
      </c>
      <c r="AF26" s="35"/>
      <c r="AG26" s="34" t="b">
        <f aca="false">FALSE()</f>
        <v>0</v>
      </c>
      <c r="AH26" s="2"/>
    </row>
    <row r="27" customFormat="false" ht="15" hidden="false" customHeight="false" outlineLevel="0" collapsed="false">
      <c r="A27" s="2" t="s">
        <v>295</v>
      </c>
      <c r="B27" s="2" t="s">
        <v>296</v>
      </c>
      <c r="C27" s="2" t="n">
        <v>14</v>
      </c>
      <c r="D27" s="2" t="s">
        <v>147</v>
      </c>
      <c r="E27" s="2" t="s">
        <v>153</v>
      </c>
      <c r="F27" s="2" t="s">
        <v>224</v>
      </c>
      <c r="G27" s="2" t="s">
        <v>109</v>
      </c>
      <c r="H27" s="2" t="s">
        <v>239</v>
      </c>
      <c r="I27" s="2" t="s">
        <v>123</v>
      </c>
      <c r="J27" s="2" t="s">
        <v>128</v>
      </c>
      <c r="K27" s="2" t="s">
        <v>226</v>
      </c>
      <c r="L27" s="33" t="n">
        <v>45050</v>
      </c>
      <c r="M27" s="33" t="n">
        <v>45054</v>
      </c>
      <c r="N27" s="2" t="n">
        <v>4</v>
      </c>
      <c r="O27" s="2" t="s">
        <v>181</v>
      </c>
      <c r="P27" s="34" t="b">
        <f aca="false">FALSE()</f>
        <v>0</v>
      </c>
      <c r="Q27" s="34" t="b">
        <f aca="false">FALSE()</f>
        <v>0</v>
      </c>
      <c r="R27" s="2" t="n">
        <v>5</v>
      </c>
      <c r="S27" s="2" t="s">
        <v>161</v>
      </c>
      <c r="T27" s="2" t="s">
        <v>246</v>
      </c>
      <c r="U27" s="2" t="s">
        <v>176</v>
      </c>
      <c r="V27" s="34" t="b">
        <f aca="false">FALSE()</f>
        <v>0</v>
      </c>
      <c r="W27" s="2" t="s">
        <v>137</v>
      </c>
      <c r="X27" s="2" t="s">
        <v>235</v>
      </c>
      <c r="Y27" s="34" t="b">
        <f aca="false">FALSE()</f>
        <v>0</v>
      </c>
      <c r="Z27" s="2" t="s">
        <v>143</v>
      </c>
      <c r="AA27" s="2" t="s">
        <v>236</v>
      </c>
      <c r="AB27" s="34" t="b">
        <f aca="false">FALSE()</f>
        <v>0</v>
      </c>
      <c r="AC27" s="35" t="n">
        <v>2973</v>
      </c>
      <c r="AD27" s="35" t="n">
        <v>2973</v>
      </c>
      <c r="AE27" s="2" t="s">
        <v>242</v>
      </c>
      <c r="AF27" s="35" t="n">
        <v>743.25</v>
      </c>
      <c r="AG27" s="34" t="b">
        <f aca="false">FALSE()</f>
        <v>0</v>
      </c>
      <c r="AH27" s="2"/>
    </row>
    <row r="28" customFormat="false" ht="15" hidden="false" customHeight="false" outlineLevel="0" collapsed="false">
      <c r="A28" s="2" t="s">
        <v>297</v>
      </c>
      <c r="B28" s="2" t="s">
        <v>298</v>
      </c>
      <c r="C28" s="2" t="n">
        <v>12</v>
      </c>
      <c r="D28" s="2" t="s">
        <v>147</v>
      </c>
      <c r="E28" s="2" t="s">
        <v>154</v>
      </c>
      <c r="F28" s="2" t="s">
        <v>233</v>
      </c>
      <c r="G28" s="2" t="s">
        <v>109</v>
      </c>
      <c r="H28" s="2" t="s">
        <v>239</v>
      </c>
      <c r="I28" s="2" t="s">
        <v>123</v>
      </c>
      <c r="J28" s="2" t="s">
        <v>133</v>
      </c>
      <c r="K28" s="2" t="s">
        <v>255</v>
      </c>
      <c r="L28" s="33" t="n">
        <v>44953</v>
      </c>
      <c r="M28" s="33" t="n">
        <v>44969</v>
      </c>
      <c r="N28" s="2" t="n">
        <v>16</v>
      </c>
      <c r="O28" s="2" t="s">
        <v>183</v>
      </c>
      <c r="P28" s="34" t="b">
        <f aca="false">TRUE()</f>
        <v>1</v>
      </c>
      <c r="Q28" s="34" t="b">
        <f aca="false">FALSE()</f>
        <v>0</v>
      </c>
      <c r="R28" s="2" t="n">
        <v>1</v>
      </c>
      <c r="S28" s="2" t="s">
        <v>157</v>
      </c>
      <c r="T28" s="2" t="s">
        <v>234</v>
      </c>
      <c r="U28" s="2" t="s">
        <v>177</v>
      </c>
      <c r="V28" s="34" t="b">
        <f aca="false">TRUE()</f>
        <v>1</v>
      </c>
      <c r="W28" s="2" t="s">
        <v>137</v>
      </c>
      <c r="X28" s="2" t="s">
        <v>235</v>
      </c>
      <c r="Y28" s="34" t="b">
        <f aca="false">FALSE()</f>
        <v>0</v>
      </c>
      <c r="Z28" s="2" t="s">
        <v>143</v>
      </c>
      <c r="AA28" s="2" t="s">
        <v>236</v>
      </c>
      <c r="AB28" s="34" t="b">
        <f aca="false">FALSE()</f>
        <v>0</v>
      </c>
      <c r="AC28" s="35"/>
      <c r="AD28" s="35" t="n">
        <v>3852</v>
      </c>
      <c r="AE28" s="2" t="s">
        <v>230</v>
      </c>
      <c r="AF28" s="35"/>
      <c r="AG28" s="34" t="b">
        <f aca="false">FALSE()</f>
        <v>0</v>
      </c>
      <c r="AH28" s="2" t="s">
        <v>283</v>
      </c>
    </row>
    <row r="29" customFormat="false" ht="15" hidden="false" customHeight="false" outlineLevel="0" collapsed="false">
      <c r="A29" s="2" t="s">
        <v>299</v>
      </c>
      <c r="B29" s="2" t="s">
        <v>300</v>
      </c>
      <c r="C29" s="2" t="n">
        <v>58</v>
      </c>
      <c r="D29" s="2" t="s">
        <v>149</v>
      </c>
      <c r="E29" s="2" t="s">
        <v>154</v>
      </c>
      <c r="F29" s="2" t="s">
        <v>233</v>
      </c>
      <c r="G29" s="2" t="s">
        <v>109</v>
      </c>
      <c r="H29" s="2" t="s">
        <v>239</v>
      </c>
      <c r="I29" s="2" t="s">
        <v>123</v>
      </c>
      <c r="J29" s="2" t="s">
        <v>131</v>
      </c>
      <c r="K29" s="2" t="s">
        <v>263</v>
      </c>
      <c r="L29" s="33" t="n">
        <v>45011</v>
      </c>
      <c r="M29" s="33" t="n">
        <v>45018</v>
      </c>
      <c r="N29" s="2" t="n">
        <v>7</v>
      </c>
      <c r="O29" s="2" t="s">
        <v>181</v>
      </c>
      <c r="P29" s="34" t="b">
        <f aca="false">FALSE()</f>
        <v>0</v>
      </c>
      <c r="Q29" s="34" t="b">
        <f aca="false">FALSE()</f>
        <v>0</v>
      </c>
      <c r="R29" s="2" t="n">
        <v>3</v>
      </c>
      <c r="S29" s="2" t="s">
        <v>159</v>
      </c>
      <c r="T29" s="2" t="s">
        <v>234</v>
      </c>
      <c r="U29" s="2" t="s">
        <v>172</v>
      </c>
      <c r="V29" s="34" t="b">
        <f aca="false">FALSE()</f>
        <v>0</v>
      </c>
      <c r="W29" s="2" t="s">
        <v>139</v>
      </c>
      <c r="X29" s="2" t="s">
        <v>228</v>
      </c>
      <c r="Y29" s="34" t="b">
        <f aca="false">TRUE()</f>
        <v>1</v>
      </c>
      <c r="Z29" s="2" t="s">
        <v>143</v>
      </c>
      <c r="AA29" s="2" t="s">
        <v>236</v>
      </c>
      <c r="AB29" s="34" t="b">
        <f aca="false">FALSE()</f>
        <v>0</v>
      </c>
      <c r="AC29" s="35"/>
      <c r="AD29" s="35" t="n">
        <v>999</v>
      </c>
      <c r="AE29" s="2" t="s">
        <v>257</v>
      </c>
      <c r="AF29" s="35"/>
      <c r="AG29" s="34" t="b">
        <f aca="false">FALSE()</f>
        <v>0</v>
      </c>
      <c r="AH29" s="2"/>
    </row>
    <row r="30" customFormat="false" ht="15" hidden="false" customHeight="false" outlineLevel="0" collapsed="false">
      <c r="A30" s="2" t="s">
        <v>301</v>
      </c>
      <c r="B30" s="2" t="s">
        <v>232</v>
      </c>
      <c r="C30" s="2" t="n">
        <v>36</v>
      </c>
      <c r="D30" s="2" t="s">
        <v>148</v>
      </c>
      <c r="E30" s="2" t="s">
        <v>153</v>
      </c>
      <c r="F30" s="2" t="s">
        <v>224</v>
      </c>
      <c r="G30" s="2" t="s">
        <v>109</v>
      </c>
      <c r="H30" s="2" t="s">
        <v>239</v>
      </c>
      <c r="I30" s="2" t="s">
        <v>123</v>
      </c>
      <c r="J30" s="2" t="s">
        <v>131</v>
      </c>
      <c r="K30" s="2" t="s">
        <v>263</v>
      </c>
      <c r="L30" s="33" t="n">
        <v>45208</v>
      </c>
      <c r="M30" s="33" t="n">
        <v>45222</v>
      </c>
      <c r="N30" s="2" t="n">
        <v>14</v>
      </c>
      <c r="O30" s="2" t="s">
        <v>182</v>
      </c>
      <c r="P30" s="34" t="b">
        <f aca="false">TRUE()</f>
        <v>1</v>
      </c>
      <c r="Q30" s="34" t="b">
        <f aca="false">FALSE()</f>
        <v>0</v>
      </c>
      <c r="R30" s="2" t="n">
        <v>10</v>
      </c>
      <c r="S30" s="2" t="s">
        <v>166</v>
      </c>
      <c r="T30" s="2" t="s">
        <v>241</v>
      </c>
      <c r="U30" s="2" t="s">
        <v>173</v>
      </c>
      <c r="V30" s="34" t="b">
        <f aca="false">FALSE()</f>
        <v>0</v>
      </c>
      <c r="W30" s="2" t="s">
        <v>137</v>
      </c>
      <c r="X30" s="2" t="s">
        <v>235</v>
      </c>
      <c r="Y30" s="34" t="b">
        <f aca="false">FALSE()</f>
        <v>0</v>
      </c>
      <c r="Z30" s="2" t="s">
        <v>143</v>
      </c>
      <c r="AA30" s="2" t="s">
        <v>236</v>
      </c>
      <c r="AB30" s="34" t="b">
        <f aca="false">FALSE()</f>
        <v>0</v>
      </c>
      <c r="AC30" s="35"/>
      <c r="AD30" s="35" t="n">
        <v>999</v>
      </c>
      <c r="AE30" s="2" t="s">
        <v>257</v>
      </c>
      <c r="AF30" s="35"/>
      <c r="AG30" s="34" t="b">
        <f aca="false">FALSE()</f>
        <v>0</v>
      </c>
      <c r="AH30" s="2"/>
    </row>
    <row r="31" customFormat="false" ht="15" hidden="false" customHeight="false" outlineLevel="0" collapsed="false">
      <c r="A31" s="2" t="s">
        <v>302</v>
      </c>
      <c r="B31" s="2" t="s">
        <v>303</v>
      </c>
      <c r="C31" s="2" t="n">
        <v>73</v>
      </c>
      <c r="D31" s="2" t="s">
        <v>150</v>
      </c>
      <c r="E31" s="2" t="s">
        <v>154</v>
      </c>
      <c r="F31" s="2" t="s">
        <v>233</v>
      </c>
      <c r="G31" s="2" t="s">
        <v>109</v>
      </c>
      <c r="H31" s="2" t="s">
        <v>239</v>
      </c>
      <c r="I31" s="2" t="s">
        <v>123</v>
      </c>
      <c r="J31" s="2" t="s">
        <v>134</v>
      </c>
      <c r="K31" s="2" t="s">
        <v>240</v>
      </c>
      <c r="L31" s="33" t="n">
        <v>45209</v>
      </c>
      <c r="M31" s="33" t="n">
        <v>45211</v>
      </c>
      <c r="N31" s="2" t="n">
        <v>2</v>
      </c>
      <c r="O31" s="2" t="s">
        <v>180</v>
      </c>
      <c r="P31" s="34" t="b">
        <f aca="false">FALSE()</f>
        <v>0</v>
      </c>
      <c r="Q31" s="34" t="b">
        <f aca="false">FALSE()</f>
        <v>0</v>
      </c>
      <c r="R31" s="2" t="n">
        <v>10</v>
      </c>
      <c r="S31" s="2" t="s">
        <v>166</v>
      </c>
      <c r="T31" s="2" t="s">
        <v>241</v>
      </c>
      <c r="U31" s="2" t="s">
        <v>174</v>
      </c>
      <c r="V31" s="34" t="b">
        <f aca="false">FALSE()</f>
        <v>0</v>
      </c>
      <c r="W31" s="2" t="s">
        <v>137</v>
      </c>
      <c r="X31" s="2" t="s">
        <v>235</v>
      </c>
      <c r="Y31" s="34" t="b">
        <f aca="false">FALSE()</f>
        <v>0</v>
      </c>
      <c r="Z31" s="2" t="s">
        <v>142</v>
      </c>
      <c r="AA31" s="2" t="s">
        <v>256</v>
      </c>
      <c r="AB31" s="34" t="b">
        <f aca="false">FALSE()</f>
        <v>0</v>
      </c>
      <c r="AC31" s="35"/>
      <c r="AD31" s="35" t="n">
        <v>3852</v>
      </c>
      <c r="AE31" s="2" t="s">
        <v>230</v>
      </c>
      <c r="AF31" s="35"/>
      <c r="AG31" s="34" t="b">
        <f aca="false">FALSE()</f>
        <v>0</v>
      </c>
      <c r="AH31" s="2"/>
    </row>
    <row r="32" customFormat="false" ht="15" hidden="false" customHeight="false" outlineLevel="0" collapsed="false">
      <c r="A32" s="2" t="s">
        <v>304</v>
      </c>
      <c r="B32" s="2" t="s">
        <v>244</v>
      </c>
      <c r="C32" s="2" t="n">
        <v>17</v>
      </c>
      <c r="D32" s="2" t="s">
        <v>147</v>
      </c>
      <c r="E32" s="2" t="s">
        <v>153</v>
      </c>
      <c r="F32" s="2" t="s">
        <v>224</v>
      </c>
      <c r="G32" s="2" t="s">
        <v>109</v>
      </c>
      <c r="H32" s="2" t="s">
        <v>239</v>
      </c>
      <c r="I32" s="2" t="s">
        <v>123</v>
      </c>
      <c r="J32" s="2" t="s">
        <v>131</v>
      </c>
      <c r="K32" s="2" t="s">
        <v>263</v>
      </c>
      <c r="L32" s="33" t="n">
        <v>45272</v>
      </c>
      <c r="M32" s="33" t="n">
        <v>45273</v>
      </c>
      <c r="N32" s="2" t="n">
        <v>1</v>
      </c>
      <c r="O32" s="2" t="s">
        <v>180</v>
      </c>
      <c r="P32" s="34" t="b">
        <f aca="false">FALSE()</f>
        <v>0</v>
      </c>
      <c r="Q32" s="34" t="b">
        <f aca="false">FALSE()</f>
        <v>0</v>
      </c>
      <c r="R32" s="2" t="n">
        <v>12</v>
      </c>
      <c r="S32" s="2" t="s">
        <v>168</v>
      </c>
      <c r="T32" s="2" t="s">
        <v>241</v>
      </c>
      <c r="U32" s="2" t="s">
        <v>174</v>
      </c>
      <c r="V32" s="34" t="b">
        <f aca="false">FALSE()</f>
        <v>0</v>
      </c>
      <c r="W32" s="2" t="s">
        <v>138</v>
      </c>
      <c r="X32" s="2" t="s">
        <v>250</v>
      </c>
      <c r="Y32" s="34" t="b">
        <f aca="false">FALSE()</f>
        <v>0</v>
      </c>
      <c r="Z32" s="2" t="s">
        <v>143</v>
      </c>
      <c r="AA32" s="2" t="s">
        <v>236</v>
      </c>
      <c r="AB32" s="34" t="b">
        <f aca="false">FALSE()</f>
        <v>0</v>
      </c>
      <c r="AC32" s="35"/>
      <c r="AD32" s="35" t="n">
        <v>3852</v>
      </c>
      <c r="AE32" s="2" t="s">
        <v>230</v>
      </c>
      <c r="AF32" s="35"/>
      <c r="AG32" s="34" t="b">
        <f aca="false">FALSE()</f>
        <v>0</v>
      </c>
      <c r="AH32" s="2"/>
    </row>
    <row r="33" customFormat="false" ht="15" hidden="false" customHeight="false" outlineLevel="0" collapsed="false">
      <c r="A33" s="2" t="s">
        <v>305</v>
      </c>
      <c r="B33" s="2" t="s">
        <v>232</v>
      </c>
      <c r="C33" s="2" t="n">
        <v>5</v>
      </c>
      <c r="D33" s="2" t="s">
        <v>147</v>
      </c>
      <c r="E33" s="2" t="s">
        <v>153</v>
      </c>
      <c r="F33" s="2" t="s">
        <v>224</v>
      </c>
      <c r="G33" s="2" t="s">
        <v>109</v>
      </c>
      <c r="H33" s="2" t="s">
        <v>239</v>
      </c>
      <c r="I33" s="2" t="s">
        <v>123</v>
      </c>
      <c r="J33" s="2" t="s">
        <v>132</v>
      </c>
      <c r="K33" s="2" t="s">
        <v>249</v>
      </c>
      <c r="L33" s="33" t="n">
        <v>44992</v>
      </c>
      <c r="M33" s="33" t="n">
        <v>44997</v>
      </c>
      <c r="N33" s="2" t="n">
        <v>5</v>
      </c>
      <c r="O33" s="2" t="s">
        <v>181</v>
      </c>
      <c r="P33" s="34" t="b">
        <f aca="false">FALSE()</f>
        <v>0</v>
      </c>
      <c r="Q33" s="34" t="b">
        <f aca="false">FALSE()</f>
        <v>0</v>
      </c>
      <c r="R33" s="2" t="n">
        <v>3</v>
      </c>
      <c r="S33" s="2" t="s">
        <v>159</v>
      </c>
      <c r="T33" s="2" t="s">
        <v>234</v>
      </c>
      <c r="U33" s="2" t="s">
        <v>174</v>
      </c>
      <c r="V33" s="34" t="b">
        <f aca="false">FALSE()</f>
        <v>0</v>
      </c>
      <c r="W33" s="2" t="s">
        <v>138</v>
      </c>
      <c r="X33" s="2" t="s">
        <v>250</v>
      </c>
      <c r="Y33" s="34" t="b">
        <f aca="false">FALSE()</f>
        <v>0</v>
      </c>
      <c r="Z33" s="2" t="s">
        <v>144</v>
      </c>
      <c r="AA33" s="2" t="s">
        <v>229</v>
      </c>
      <c r="AB33" s="34" t="b">
        <f aca="false">TRUE()</f>
        <v>1</v>
      </c>
      <c r="AC33" s="35"/>
      <c r="AD33" s="35" t="n">
        <v>999</v>
      </c>
      <c r="AE33" s="2" t="s">
        <v>257</v>
      </c>
      <c r="AF33" s="35"/>
      <c r="AG33" s="34" t="b">
        <f aca="false">TRUE()</f>
        <v>1</v>
      </c>
      <c r="AH33" s="2"/>
    </row>
    <row r="34" customFormat="false" ht="15" hidden="false" customHeight="false" outlineLevel="0" collapsed="false">
      <c r="A34" s="2" t="s">
        <v>306</v>
      </c>
      <c r="B34" s="2" t="s">
        <v>307</v>
      </c>
      <c r="C34" s="2" t="n">
        <v>7</v>
      </c>
      <c r="D34" s="2" t="s">
        <v>147</v>
      </c>
      <c r="E34" s="2" t="s">
        <v>153</v>
      </c>
      <c r="F34" s="2" t="s">
        <v>224</v>
      </c>
      <c r="G34" s="2" t="s">
        <v>109</v>
      </c>
      <c r="H34" s="2" t="s">
        <v>239</v>
      </c>
      <c r="I34" s="2" t="s">
        <v>123</v>
      </c>
      <c r="J34" s="2" t="s">
        <v>131</v>
      </c>
      <c r="K34" s="2" t="s">
        <v>263</v>
      </c>
      <c r="L34" s="33" t="n">
        <v>45096</v>
      </c>
      <c r="M34" s="33" t="n">
        <v>45101</v>
      </c>
      <c r="N34" s="2" t="n">
        <v>5</v>
      </c>
      <c r="O34" s="2" t="s">
        <v>181</v>
      </c>
      <c r="P34" s="34" t="b">
        <f aca="false">FALSE()</f>
        <v>0</v>
      </c>
      <c r="Q34" s="34" t="b">
        <f aca="false">FALSE()</f>
        <v>0</v>
      </c>
      <c r="R34" s="2" t="n">
        <v>6</v>
      </c>
      <c r="S34" s="2" t="s">
        <v>162</v>
      </c>
      <c r="T34" s="2" t="s">
        <v>246</v>
      </c>
      <c r="U34" s="2" t="s">
        <v>173</v>
      </c>
      <c r="V34" s="34" t="b">
        <f aca="false">FALSE()</f>
        <v>0</v>
      </c>
      <c r="W34" s="2" t="s">
        <v>137</v>
      </c>
      <c r="X34" s="2" t="s">
        <v>235</v>
      </c>
      <c r="Y34" s="34" t="b">
        <f aca="false">FALSE()</f>
        <v>0</v>
      </c>
      <c r="Z34" s="2" t="s">
        <v>144</v>
      </c>
      <c r="AA34" s="2" t="s">
        <v>229</v>
      </c>
      <c r="AB34" s="34" t="b">
        <f aca="false">TRUE()</f>
        <v>1</v>
      </c>
      <c r="AC34" s="35"/>
      <c r="AD34" s="35" t="n">
        <v>3852</v>
      </c>
      <c r="AE34" s="2" t="s">
        <v>230</v>
      </c>
      <c r="AF34" s="35"/>
      <c r="AG34" s="34" t="b">
        <f aca="false">FALSE()</f>
        <v>0</v>
      </c>
      <c r="AH34" s="2"/>
    </row>
    <row r="35" customFormat="false" ht="15" hidden="false" customHeight="false" outlineLevel="0" collapsed="false">
      <c r="A35" s="2" t="s">
        <v>308</v>
      </c>
      <c r="B35" s="2" t="s">
        <v>300</v>
      </c>
      <c r="C35" s="2" t="n">
        <v>16</v>
      </c>
      <c r="D35" s="2" t="s">
        <v>147</v>
      </c>
      <c r="E35" s="2" t="s">
        <v>153</v>
      </c>
      <c r="F35" s="2" t="s">
        <v>224</v>
      </c>
      <c r="G35" s="2" t="s">
        <v>109</v>
      </c>
      <c r="H35" s="2" t="s">
        <v>239</v>
      </c>
      <c r="I35" s="2" t="s">
        <v>123</v>
      </c>
      <c r="J35" s="2" t="s">
        <v>130</v>
      </c>
      <c r="K35" s="2" t="s">
        <v>245</v>
      </c>
      <c r="L35" s="33" t="n">
        <v>45000</v>
      </c>
      <c r="M35" s="33" t="n">
        <v>45008</v>
      </c>
      <c r="N35" s="2" t="n">
        <v>8</v>
      </c>
      <c r="O35" s="2" t="s">
        <v>182</v>
      </c>
      <c r="P35" s="34" t="b">
        <f aca="false">TRUE()</f>
        <v>1</v>
      </c>
      <c r="Q35" s="34" t="b">
        <f aca="false">FALSE()</f>
        <v>0</v>
      </c>
      <c r="R35" s="2" t="n">
        <v>3</v>
      </c>
      <c r="S35" s="2" t="s">
        <v>159</v>
      </c>
      <c r="T35" s="2" t="s">
        <v>234</v>
      </c>
      <c r="U35" s="2" t="s">
        <v>175</v>
      </c>
      <c r="V35" s="34" t="b">
        <f aca="false">FALSE()</f>
        <v>0</v>
      </c>
      <c r="W35" s="2" t="s">
        <v>138</v>
      </c>
      <c r="X35" s="2" t="s">
        <v>250</v>
      </c>
      <c r="Y35" s="34" t="b">
        <f aca="false">FALSE()</f>
        <v>0</v>
      </c>
      <c r="Z35" s="2" t="s">
        <v>142</v>
      </c>
      <c r="AA35" s="2" t="s">
        <v>256</v>
      </c>
      <c r="AB35" s="34" t="b">
        <f aca="false">FALSE()</f>
        <v>0</v>
      </c>
      <c r="AC35" s="35" t="n">
        <v>6551</v>
      </c>
      <c r="AD35" s="35" t="n">
        <v>6551</v>
      </c>
      <c r="AE35" s="2" t="s">
        <v>242</v>
      </c>
      <c r="AF35" s="35" t="n">
        <v>818.88</v>
      </c>
      <c r="AG35" s="34" t="b">
        <f aca="false">FALSE()</f>
        <v>0</v>
      </c>
      <c r="AH35" s="2"/>
    </row>
    <row r="36" customFormat="false" ht="15" hidden="false" customHeight="false" outlineLevel="0" collapsed="false">
      <c r="A36" s="2" t="s">
        <v>309</v>
      </c>
      <c r="B36" s="2" t="s">
        <v>310</v>
      </c>
      <c r="C36" s="2" t="n">
        <v>34</v>
      </c>
      <c r="D36" s="2" t="s">
        <v>148</v>
      </c>
      <c r="E36" s="2" t="s">
        <v>154</v>
      </c>
      <c r="F36" s="2" t="s">
        <v>233</v>
      </c>
      <c r="G36" s="2" t="s">
        <v>109</v>
      </c>
      <c r="H36" s="2" t="s">
        <v>239</v>
      </c>
      <c r="I36" s="2" t="s">
        <v>123</v>
      </c>
      <c r="J36" s="2" t="s">
        <v>129</v>
      </c>
      <c r="K36" s="2" t="s">
        <v>260</v>
      </c>
      <c r="L36" s="33" t="n">
        <v>45163</v>
      </c>
      <c r="M36" s="33" t="n">
        <v>45182</v>
      </c>
      <c r="N36" s="2" t="n">
        <v>19</v>
      </c>
      <c r="O36" s="2" t="s">
        <v>183</v>
      </c>
      <c r="P36" s="34" t="b">
        <f aca="false">TRUE()</f>
        <v>1</v>
      </c>
      <c r="Q36" s="34" t="b">
        <f aca="false">TRUE()</f>
        <v>1</v>
      </c>
      <c r="R36" s="2" t="n">
        <v>8</v>
      </c>
      <c r="S36" s="2" t="s">
        <v>164</v>
      </c>
      <c r="T36" s="2" t="s">
        <v>227</v>
      </c>
      <c r="U36" s="2" t="s">
        <v>177</v>
      </c>
      <c r="V36" s="34" t="b">
        <f aca="false">TRUE()</f>
        <v>1</v>
      </c>
      <c r="W36" s="2" t="s">
        <v>137</v>
      </c>
      <c r="X36" s="2" t="s">
        <v>235</v>
      </c>
      <c r="Y36" s="34" t="b">
        <f aca="false">FALSE()</f>
        <v>0</v>
      </c>
      <c r="Z36" s="2" t="s">
        <v>143</v>
      </c>
      <c r="AA36" s="2" t="s">
        <v>236</v>
      </c>
      <c r="AB36" s="34" t="b">
        <f aca="false">FALSE()</f>
        <v>0</v>
      </c>
      <c r="AC36" s="35"/>
      <c r="AD36" s="35" t="n">
        <v>999</v>
      </c>
      <c r="AE36" s="2" t="s">
        <v>257</v>
      </c>
      <c r="AF36" s="35"/>
      <c r="AG36" s="34" t="b">
        <f aca="false">FALSE()</f>
        <v>0</v>
      </c>
      <c r="AH36" s="2" t="s">
        <v>283</v>
      </c>
    </row>
    <row r="37" customFormat="false" ht="15" hidden="false" customHeight="false" outlineLevel="0" collapsed="false">
      <c r="A37" s="2" t="s">
        <v>311</v>
      </c>
      <c r="B37" s="2" t="s">
        <v>312</v>
      </c>
      <c r="C37" s="2" t="n">
        <v>86</v>
      </c>
      <c r="D37" s="2" t="s">
        <v>150</v>
      </c>
      <c r="E37" s="2" t="s">
        <v>154</v>
      </c>
      <c r="F37" s="2" t="s">
        <v>233</v>
      </c>
      <c r="G37" s="2" t="s">
        <v>109</v>
      </c>
      <c r="H37" s="2" t="s">
        <v>239</v>
      </c>
      <c r="I37" s="2" t="s">
        <v>123</v>
      </c>
      <c r="J37" s="2" t="s">
        <v>130</v>
      </c>
      <c r="K37" s="2" t="s">
        <v>245</v>
      </c>
      <c r="L37" s="33" t="n">
        <v>45246</v>
      </c>
      <c r="M37" s="33" t="n">
        <v>45249</v>
      </c>
      <c r="N37" s="2" t="n">
        <v>3</v>
      </c>
      <c r="O37" s="2" t="s">
        <v>180</v>
      </c>
      <c r="P37" s="34" t="b">
        <f aca="false">FALSE()</f>
        <v>0</v>
      </c>
      <c r="Q37" s="34" t="b">
        <f aca="false">FALSE()</f>
        <v>0</v>
      </c>
      <c r="R37" s="2" t="n">
        <v>11</v>
      </c>
      <c r="S37" s="2" t="s">
        <v>167</v>
      </c>
      <c r="T37" s="2" t="s">
        <v>241</v>
      </c>
      <c r="U37" s="2" t="s">
        <v>176</v>
      </c>
      <c r="V37" s="34" t="b">
        <f aca="false">FALSE()</f>
        <v>0</v>
      </c>
      <c r="W37" s="2" t="s">
        <v>139</v>
      </c>
      <c r="X37" s="2" t="s">
        <v>228</v>
      </c>
      <c r="Y37" s="34" t="b">
        <f aca="false">TRUE()</f>
        <v>1</v>
      </c>
      <c r="Z37" s="2" t="s">
        <v>144</v>
      </c>
      <c r="AA37" s="2" t="s">
        <v>229</v>
      </c>
      <c r="AB37" s="34" t="b">
        <f aca="false">TRUE()</f>
        <v>1</v>
      </c>
      <c r="AC37" s="35"/>
      <c r="AD37" s="35" t="n">
        <v>999</v>
      </c>
      <c r="AE37" s="2" t="s">
        <v>257</v>
      </c>
      <c r="AF37" s="35"/>
      <c r="AG37" s="34" t="b">
        <f aca="false">FALSE()</f>
        <v>0</v>
      </c>
      <c r="AH37" s="2"/>
    </row>
    <row r="38" customFormat="false" ht="15" hidden="false" customHeight="false" outlineLevel="0" collapsed="false">
      <c r="A38" s="2" t="s">
        <v>313</v>
      </c>
      <c r="B38" s="2" t="s">
        <v>298</v>
      </c>
      <c r="C38" s="2" t="n">
        <v>70</v>
      </c>
      <c r="D38" s="2" t="s">
        <v>150</v>
      </c>
      <c r="E38" s="2" t="s">
        <v>153</v>
      </c>
      <c r="F38" s="2" t="s">
        <v>224</v>
      </c>
      <c r="G38" s="2" t="s">
        <v>109</v>
      </c>
      <c r="H38" s="2" t="s">
        <v>239</v>
      </c>
      <c r="I38" s="2" t="s">
        <v>123</v>
      </c>
      <c r="J38" s="2" t="s">
        <v>129</v>
      </c>
      <c r="K38" s="2" t="s">
        <v>260</v>
      </c>
      <c r="L38" s="33" t="n">
        <v>45281</v>
      </c>
      <c r="M38" s="33" t="n">
        <v>45282</v>
      </c>
      <c r="N38" s="2" t="n">
        <v>1</v>
      </c>
      <c r="O38" s="2" t="s">
        <v>180</v>
      </c>
      <c r="P38" s="34" t="b">
        <f aca="false">FALSE()</f>
        <v>0</v>
      </c>
      <c r="Q38" s="34" t="b">
        <f aca="false">FALSE()</f>
        <v>0</v>
      </c>
      <c r="R38" s="2" t="n">
        <v>12</v>
      </c>
      <c r="S38" s="2" t="s">
        <v>168</v>
      </c>
      <c r="T38" s="2" t="s">
        <v>241</v>
      </c>
      <c r="U38" s="2" t="s">
        <v>176</v>
      </c>
      <c r="V38" s="34" t="b">
        <f aca="false">FALSE()</f>
        <v>0</v>
      </c>
      <c r="W38" s="2" t="s">
        <v>138</v>
      </c>
      <c r="X38" s="2" t="s">
        <v>250</v>
      </c>
      <c r="Y38" s="34" t="b">
        <f aca="false">FALSE()</f>
        <v>0</v>
      </c>
      <c r="Z38" s="2" t="s">
        <v>143</v>
      </c>
      <c r="AA38" s="2" t="s">
        <v>236</v>
      </c>
      <c r="AB38" s="34" t="b">
        <f aca="false">FALSE()</f>
        <v>0</v>
      </c>
      <c r="AC38" s="35"/>
      <c r="AD38" s="35" t="n">
        <v>3852</v>
      </c>
      <c r="AE38" s="2" t="s">
        <v>230</v>
      </c>
      <c r="AF38" s="35"/>
      <c r="AG38" s="34" t="b">
        <f aca="false">TRUE()</f>
        <v>1</v>
      </c>
      <c r="AH38" s="2"/>
    </row>
    <row r="39" customFormat="false" ht="15" hidden="false" customHeight="false" outlineLevel="0" collapsed="false">
      <c r="A39" s="2" t="s">
        <v>314</v>
      </c>
      <c r="B39" s="2" t="s">
        <v>315</v>
      </c>
      <c r="C39" s="2" t="n">
        <v>90</v>
      </c>
      <c r="D39" s="2" t="s">
        <v>150</v>
      </c>
      <c r="E39" s="2" t="s">
        <v>153</v>
      </c>
      <c r="F39" s="2" t="s">
        <v>224</v>
      </c>
      <c r="G39" s="2" t="s">
        <v>109</v>
      </c>
      <c r="H39" s="2" t="s">
        <v>239</v>
      </c>
      <c r="I39" s="2" t="s">
        <v>123</v>
      </c>
      <c r="J39" s="2" t="s">
        <v>132</v>
      </c>
      <c r="K39" s="2" t="s">
        <v>249</v>
      </c>
      <c r="L39" s="33" t="n">
        <v>45071</v>
      </c>
      <c r="M39" s="33" t="n">
        <v>45076</v>
      </c>
      <c r="N39" s="2" t="n">
        <v>5</v>
      </c>
      <c r="O39" s="2" t="s">
        <v>181</v>
      </c>
      <c r="P39" s="34" t="b">
        <f aca="false">FALSE()</f>
        <v>0</v>
      </c>
      <c r="Q39" s="34" t="b">
        <f aca="false">FALSE()</f>
        <v>0</v>
      </c>
      <c r="R39" s="2" t="n">
        <v>5</v>
      </c>
      <c r="S39" s="2" t="s">
        <v>161</v>
      </c>
      <c r="T39" s="2" t="s">
        <v>246</v>
      </c>
      <c r="U39" s="2" t="s">
        <v>176</v>
      </c>
      <c r="V39" s="34" t="b">
        <f aca="false">FALSE()</f>
        <v>0</v>
      </c>
      <c r="W39" s="2" t="s">
        <v>138</v>
      </c>
      <c r="X39" s="2" t="s">
        <v>250</v>
      </c>
      <c r="Y39" s="34" t="b">
        <f aca="false">FALSE()</f>
        <v>0</v>
      </c>
      <c r="Z39" s="2" t="s">
        <v>144</v>
      </c>
      <c r="AA39" s="2" t="s">
        <v>229</v>
      </c>
      <c r="AB39" s="34" t="b">
        <f aca="false">TRUE()</f>
        <v>1</v>
      </c>
      <c r="AC39" s="35"/>
      <c r="AD39" s="35" t="n">
        <v>3852</v>
      </c>
      <c r="AE39" s="2" t="s">
        <v>230</v>
      </c>
      <c r="AF39" s="35"/>
      <c r="AG39" s="34" t="b">
        <f aca="false">FALSE()</f>
        <v>0</v>
      </c>
      <c r="AH39" s="2"/>
    </row>
    <row r="40" customFormat="false" ht="15" hidden="false" customHeight="false" outlineLevel="0" collapsed="false">
      <c r="A40" s="2" t="s">
        <v>316</v>
      </c>
      <c r="B40" s="2" t="s">
        <v>317</v>
      </c>
      <c r="C40" s="2" t="n">
        <v>19</v>
      </c>
      <c r="D40" s="2" t="s">
        <v>148</v>
      </c>
      <c r="E40" s="2" t="s">
        <v>153</v>
      </c>
      <c r="F40" s="2" t="s">
        <v>224</v>
      </c>
      <c r="G40" s="2" t="s">
        <v>109</v>
      </c>
      <c r="H40" s="2" t="s">
        <v>239</v>
      </c>
      <c r="I40" s="2" t="s">
        <v>123</v>
      </c>
      <c r="J40" s="2" t="s">
        <v>131</v>
      </c>
      <c r="K40" s="2" t="s">
        <v>263</v>
      </c>
      <c r="L40" s="33" t="n">
        <v>45235</v>
      </c>
      <c r="M40" s="33" t="n">
        <v>45236</v>
      </c>
      <c r="N40" s="2" t="n">
        <v>1</v>
      </c>
      <c r="O40" s="2" t="s">
        <v>180</v>
      </c>
      <c r="P40" s="34" t="b">
        <f aca="false">FALSE()</f>
        <v>0</v>
      </c>
      <c r="Q40" s="34" t="b">
        <f aca="false">FALSE()</f>
        <v>0</v>
      </c>
      <c r="R40" s="2" t="n">
        <v>11</v>
      </c>
      <c r="S40" s="2" t="s">
        <v>167</v>
      </c>
      <c r="T40" s="2" t="s">
        <v>241</v>
      </c>
      <c r="U40" s="2" t="s">
        <v>172</v>
      </c>
      <c r="V40" s="34" t="b">
        <f aca="false">FALSE()</f>
        <v>0</v>
      </c>
      <c r="W40" s="2" t="s">
        <v>139</v>
      </c>
      <c r="X40" s="2" t="s">
        <v>228</v>
      </c>
      <c r="Y40" s="34" t="b">
        <f aca="false">TRUE()</f>
        <v>1</v>
      </c>
      <c r="Z40" s="2" t="s">
        <v>144</v>
      </c>
      <c r="AA40" s="2" t="s">
        <v>229</v>
      </c>
      <c r="AB40" s="34" t="b">
        <f aca="false">TRUE()</f>
        <v>1</v>
      </c>
      <c r="AC40" s="35"/>
      <c r="AD40" s="35" t="n">
        <v>3852</v>
      </c>
      <c r="AE40" s="2" t="s">
        <v>230</v>
      </c>
      <c r="AF40" s="35"/>
      <c r="AG40" s="34" t="b">
        <f aca="false">TRUE()</f>
        <v>1</v>
      </c>
      <c r="AH40" s="2"/>
    </row>
    <row r="41" customFormat="false" ht="15" hidden="false" customHeight="false" outlineLevel="0" collapsed="false">
      <c r="A41" s="2" t="s">
        <v>318</v>
      </c>
      <c r="B41" s="2" t="s">
        <v>319</v>
      </c>
      <c r="C41" s="2" t="n">
        <v>88</v>
      </c>
      <c r="D41" s="2" t="s">
        <v>150</v>
      </c>
      <c r="E41" s="2" t="s">
        <v>153</v>
      </c>
      <c r="F41" s="2" t="s">
        <v>224</v>
      </c>
      <c r="G41" s="2" t="s">
        <v>109</v>
      </c>
      <c r="H41" s="2" t="s">
        <v>239</v>
      </c>
      <c r="I41" s="2" t="s">
        <v>123</v>
      </c>
      <c r="J41" s="2" t="s">
        <v>128</v>
      </c>
      <c r="K41" s="2" t="s">
        <v>226</v>
      </c>
      <c r="L41" s="33" t="n">
        <v>45073</v>
      </c>
      <c r="M41" s="33" t="n">
        <v>45091</v>
      </c>
      <c r="N41" s="2" t="n">
        <v>18</v>
      </c>
      <c r="O41" s="2" t="s">
        <v>183</v>
      </c>
      <c r="P41" s="34" t="b">
        <f aca="false">TRUE()</f>
        <v>1</v>
      </c>
      <c r="Q41" s="34" t="b">
        <f aca="false">TRUE()</f>
        <v>1</v>
      </c>
      <c r="R41" s="2" t="n">
        <v>5</v>
      </c>
      <c r="S41" s="2" t="s">
        <v>161</v>
      </c>
      <c r="T41" s="2" t="s">
        <v>246</v>
      </c>
      <c r="U41" s="2" t="s">
        <v>171</v>
      </c>
      <c r="V41" s="34" t="b">
        <f aca="false">TRUE()</f>
        <v>1</v>
      </c>
      <c r="W41" s="2" t="s">
        <v>138</v>
      </c>
      <c r="X41" s="2" t="s">
        <v>250</v>
      </c>
      <c r="Y41" s="34" t="b">
        <f aca="false">FALSE()</f>
        <v>0</v>
      </c>
      <c r="Z41" s="2" t="s">
        <v>144</v>
      </c>
      <c r="AA41" s="2" t="s">
        <v>229</v>
      </c>
      <c r="AB41" s="34" t="b">
        <f aca="false">TRUE()</f>
        <v>1</v>
      </c>
      <c r="AC41" s="35"/>
      <c r="AD41" s="35" t="n">
        <v>999</v>
      </c>
      <c r="AE41" s="2" t="s">
        <v>257</v>
      </c>
      <c r="AF41" s="35"/>
      <c r="AG41" s="34" t="b">
        <f aca="false">FALSE()</f>
        <v>0</v>
      </c>
      <c r="AH41" s="2" t="s">
        <v>283</v>
      </c>
    </row>
    <row r="42" customFormat="false" ht="15" hidden="false" customHeight="false" outlineLevel="0" collapsed="false">
      <c r="A42" s="2" t="s">
        <v>320</v>
      </c>
      <c r="B42" s="2" t="s">
        <v>321</v>
      </c>
      <c r="C42" s="2" t="n">
        <v>60</v>
      </c>
      <c r="D42" s="2" t="s">
        <v>150</v>
      </c>
      <c r="E42" s="2" t="s">
        <v>153</v>
      </c>
      <c r="F42" s="2" t="s">
        <v>224</v>
      </c>
      <c r="G42" s="2" t="s">
        <v>109</v>
      </c>
      <c r="H42" s="2" t="s">
        <v>239</v>
      </c>
      <c r="I42" s="2" t="s">
        <v>123</v>
      </c>
      <c r="J42" s="2" t="s">
        <v>131</v>
      </c>
      <c r="K42" s="2" t="s">
        <v>263</v>
      </c>
      <c r="L42" s="33" t="n">
        <v>44934</v>
      </c>
      <c r="M42" s="33" t="n">
        <v>44937</v>
      </c>
      <c r="N42" s="2" t="n">
        <v>3</v>
      </c>
      <c r="O42" s="2" t="s">
        <v>180</v>
      </c>
      <c r="P42" s="34" t="b">
        <f aca="false">FALSE()</f>
        <v>0</v>
      </c>
      <c r="Q42" s="34" t="b">
        <f aca="false">FALSE()</f>
        <v>0</v>
      </c>
      <c r="R42" s="2" t="n">
        <v>1</v>
      </c>
      <c r="S42" s="2" t="s">
        <v>157</v>
      </c>
      <c r="T42" s="2" t="s">
        <v>234</v>
      </c>
      <c r="U42" s="2" t="s">
        <v>172</v>
      </c>
      <c r="V42" s="34" t="b">
        <f aca="false">FALSE()</f>
        <v>0</v>
      </c>
      <c r="W42" s="2" t="s">
        <v>139</v>
      </c>
      <c r="X42" s="2" t="s">
        <v>228</v>
      </c>
      <c r="Y42" s="34" t="b">
        <f aca="false">TRUE()</f>
        <v>1</v>
      </c>
      <c r="Z42" s="2" t="s">
        <v>143</v>
      </c>
      <c r="AA42" s="2" t="s">
        <v>236</v>
      </c>
      <c r="AB42" s="34" t="b">
        <f aca="false">FALSE()</f>
        <v>0</v>
      </c>
      <c r="AC42" s="35"/>
      <c r="AD42" s="35" t="n">
        <v>999</v>
      </c>
      <c r="AE42" s="2" t="s">
        <v>257</v>
      </c>
      <c r="AF42" s="35"/>
      <c r="AG42" s="34" t="b">
        <f aca="false">FALSE()</f>
        <v>0</v>
      </c>
      <c r="AH42" s="2"/>
    </row>
    <row r="43" customFormat="false" ht="15" hidden="false" customHeight="false" outlineLevel="0" collapsed="false">
      <c r="A43" s="2" t="s">
        <v>322</v>
      </c>
      <c r="B43" s="2" t="s">
        <v>323</v>
      </c>
      <c r="C43" s="2" t="n">
        <v>15</v>
      </c>
      <c r="D43" s="2" t="s">
        <v>147</v>
      </c>
      <c r="E43" s="2" t="s">
        <v>153</v>
      </c>
      <c r="F43" s="2" t="s">
        <v>224</v>
      </c>
      <c r="G43" s="2" t="s">
        <v>109</v>
      </c>
      <c r="H43" s="2" t="s">
        <v>239</v>
      </c>
      <c r="I43" s="2" t="s">
        <v>123</v>
      </c>
      <c r="J43" s="2" t="s">
        <v>131</v>
      </c>
      <c r="K43" s="2" t="s">
        <v>263</v>
      </c>
      <c r="L43" s="33" t="n">
        <v>44959</v>
      </c>
      <c r="M43" s="33" t="n">
        <v>44963</v>
      </c>
      <c r="N43" s="2" t="n">
        <v>4</v>
      </c>
      <c r="O43" s="2" t="s">
        <v>181</v>
      </c>
      <c r="P43" s="34" t="b">
        <f aca="false">FALSE()</f>
        <v>0</v>
      </c>
      <c r="Q43" s="34" t="b">
        <f aca="false">FALSE()</f>
        <v>0</v>
      </c>
      <c r="R43" s="2" t="n">
        <v>2</v>
      </c>
      <c r="S43" s="2" t="s">
        <v>158</v>
      </c>
      <c r="T43" s="2" t="s">
        <v>234</v>
      </c>
      <c r="U43" s="2" t="s">
        <v>176</v>
      </c>
      <c r="V43" s="34" t="b">
        <f aca="false">FALSE()</f>
        <v>0</v>
      </c>
      <c r="W43" s="2" t="s">
        <v>137</v>
      </c>
      <c r="X43" s="2" t="s">
        <v>235</v>
      </c>
      <c r="Y43" s="34" t="b">
        <f aca="false">FALSE()</f>
        <v>0</v>
      </c>
      <c r="Z43" s="2" t="s">
        <v>143</v>
      </c>
      <c r="AA43" s="2" t="s">
        <v>236</v>
      </c>
      <c r="AB43" s="34" t="b">
        <f aca="false">FALSE()</f>
        <v>0</v>
      </c>
      <c r="AC43" s="35"/>
      <c r="AD43" s="35" t="n">
        <v>999</v>
      </c>
      <c r="AE43" s="2" t="s">
        <v>257</v>
      </c>
      <c r="AF43" s="35"/>
      <c r="AG43" s="34" t="b">
        <f aca="false">FALSE()</f>
        <v>0</v>
      </c>
      <c r="AH43" s="2"/>
    </row>
    <row r="44" customFormat="false" ht="15" hidden="false" customHeight="false" outlineLevel="0" collapsed="false">
      <c r="A44" s="2" t="s">
        <v>324</v>
      </c>
      <c r="B44" s="2" t="s">
        <v>325</v>
      </c>
      <c r="C44" s="2" t="n">
        <v>22</v>
      </c>
      <c r="D44" s="2" t="s">
        <v>148</v>
      </c>
      <c r="E44" s="2" t="s">
        <v>154</v>
      </c>
      <c r="F44" s="2" t="s">
        <v>233</v>
      </c>
      <c r="G44" s="2" t="s">
        <v>109</v>
      </c>
      <c r="H44" s="2" t="s">
        <v>239</v>
      </c>
      <c r="I44" s="2" t="s">
        <v>123</v>
      </c>
      <c r="J44" s="2" t="s">
        <v>133</v>
      </c>
      <c r="K44" s="2" t="s">
        <v>255</v>
      </c>
      <c r="L44" s="33" t="n">
        <v>45171</v>
      </c>
      <c r="M44" s="33" t="n">
        <v>45175</v>
      </c>
      <c r="N44" s="2" t="n">
        <v>4</v>
      </c>
      <c r="O44" s="2" t="s">
        <v>181</v>
      </c>
      <c r="P44" s="34" t="b">
        <f aca="false">FALSE()</f>
        <v>0</v>
      </c>
      <c r="Q44" s="34" t="b">
        <f aca="false">FALSE()</f>
        <v>0</v>
      </c>
      <c r="R44" s="2" t="n">
        <v>9</v>
      </c>
      <c r="S44" s="2" t="s">
        <v>165</v>
      </c>
      <c r="T44" s="2" t="s">
        <v>227</v>
      </c>
      <c r="U44" s="2" t="s">
        <v>171</v>
      </c>
      <c r="V44" s="34" t="b">
        <f aca="false">TRUE()</f>
        <v>1</v>
      </c>
      <c r="W44" s="2" t="s">
        <v>139</v>
      </c>
      <c r="X44" s="2" t="s">
        <v>228</v>
      </c>
      <c r="Y44" s="34" t="b">
        <f aca="false">TRUE()</f>
        <v>1</v>
      </c>
      <c r="Z44" s="2" t="s">
        <v>142</v>
      </c>
      <c r="AA44" s="2" t="s">
        <v>256</v>
      </c>
      <c r="AB44" s="34" t="b">
        <f aca="false">FALSE()</f>
        <v>0</v>
      </c>
      <c r="AC44" s="35" t="n">
        <v>2298</v>
      </c>
      <c r="AD44" s="35" t="n">
        <v>2298</v>
      </c>
      <c r="AE44" s="2" t="s">
        <v>242</v>
      </c>
      <c r="AF44" s="35" t="n">
        <v>574.5</v>
      </c>
      <c r="AG44" s="34" t="b">
        <f aca="false">FALSE()</f>
        <v>0</v>
      </c>
      <c r="AH44" s="2"/>
    </row>
    <row r="45" customFormat="false" ht="15" hidden="false" customHeight="false" outlineLevel="0" collapsed="false">
      <c r="A45" s="2" t="s">
        <v>326</v>
      </c>
      <c r="B45" s="2" t="s">
        <v>327</v>
      </c>
      <c r="C45" s="2" t="n">
        <v>38</v>
      </c>
      <c r="D45" s="2" t="s">
        <v>148</v>
      </c>
      <c r="E45" s="2" t="s">
        <v>154</v>
      </c>
      <c r="F45" s="2" t="s">
        <v>233</v>
      </c>
      <c r="G45" s="2" t="s">
        <v>109</v>
      </c>
      <c r="H45" s="2" t="s">
        <v>239</v>
      </c>
      <c r="I45" s="2" t="s">
        <v>123</v>
      </c>
      <c r="J45" s="2" t="s">
        <v>134</v>
      </c>
      <c r="K45" s="2" t="s">
        <v>240</v>
      </c>
      <c r="L45" s="33" t="n">
        <v>44936</v>
      </c>
      <c r="M45" s="33" t="n">
        <v>44939</v>
      </c>
      <c r="N45" s="2" t="n">
        <v>3</v>
      </c>
      <c r="O45" s="2" t="s">
        <v>180</v>
      </c>
      <c r="P45" s="34" t="b">
        <f aca="false">FALSE()</f>
        <v>0</v>
      </c>
      <c r="Q45" s="34" t="b">
        <f aca="false">FALSE()</f>
        <v>0</v>
      </c>
      <c r="R45" s="2" t="n">
        <v>1</v>
      </c>
      <c r="S45" s="2" t="s">
        <v>157</v>
      </c>
      <c r="T45" s="2" t="s">
        <v>234</v>
      </c>
      <c r="U45" s="2" t="s">
        <v>174</v>
      </c>
      <c r="V45" s="34" t="b">
        <f aca="false">FALSE()</f>
        <v>0</v>
      </c>
      <c r="W45" s="2" t="s">
        <v>138</v>
      </c>
      <c r="X45" s="2" t="s">
        <v>250</v>
      </c>
      <c r="Y45" s="34" t="b">
        <f aca="false">FALSE()</f>
        <v>0</v>
      </c>
      <c r="Z45" s="2" t="s">
        <v>142</v>
      </c>
      <c r="AA45" s="2" t="s">
        <v>256</v>
      </c>
      <c r="AB45" s="34" t="b">
        <f aca="false">FALSE()</f>
        <v>0</v>
      </c>
      <c r="AC45" s="35"/>
      <c r="AD45" s="35" t="n">
        <v>999</v>
      </c>
      <c r="AE45" s="2" t="s">
        <v>257</v>
      </c>
      <c r="AF45" s="35"/>
      <c r="AG45" s="34" t="b">
        <f aca="false">FALSE()</f>
        <v>0</v>
      </c>
      <c r="AH45" s="2"/>
    </row>
    <row r="46" customFormat="false" ht="15" hidden="false" customHeight="false" outlineLevel="0" collapsed="false">
      <c r="A46" s="2" t="s">
        <v>328</v>
      </c>
      <c r="B46" s="2" t="s">
        <v>329</v>
      </c>
      <c r="C46" s="2" t="n">
        <v>28</v>
      </c>
      <c r="D46" s="2" t="s">
        <v>148</v>
      </c>
      <c r="E46" s="2" t="s">
        <v>153</v>
      </c>
      <c r="F46" s="2" t="s">
        <v>224</v>
      </c>
      <c r="G46" s="2" t="s">
        <v>112</v>
      </c>
      <c r="H46" s="2" t="s">
        <v>330</v>
      </c>
      <c r="I46" s="2" t="s">
        <v>123</v>
      </c>
      <c r="J46" s="2" t="s">
        <v>130</v>
      </c>
      <c r="K46" s="2" t="s">
        <v>245</v>
      </c>
      <c r="L46" s="33" t="n">
        <v>44959</v>
      </c>
      <c r="M46" s="33" t="n">
        <v>44960</v>
      </c>
      <c r="N46" s="2" t="n">
        <v>1</v>
      </c>
      <c r="O46" s="2" t="s">
        <v>180</v>
      </c>
      <c r="P46" s="34" t="b">
        <f aca="false">FALSE()</f>
        <v>0</v>
      </c>
      <c r="Q46" s="34" t="b">
        <f aca="false">FALSE()</f>
        <v>0</v>
      </c>
      <c r="R46" s="2" t="n">
        <v>2</v>
      </c>
      <c r="S46" s="2" t="s">
        <v>158</v>
      </c>
      <c r="T46" s="2" t="s">
        <v>234</v>
      </c>
      <c r="U46" s="2" t="s">
        <v>176</v>
      </c>
      <c r="V46" s="34" t="b">
        <f aca="false">FALSE()</f>
        <v>0</v>
      </c>
      <c r="W46" s="2" t="s">
        <v>137</v>
      </c>
      <c r="X46" s="2" t="s">
        <v>235</v>
      </c>
      <c r="Y46" s="34" t="b">
        <f aca="false">FALSE()</f>
        <v>0</v>
      </c>
      <c r="Z46" s="2" t="s">
        <v>142</v>
      </c>
      <c r="AA46" s="2" t="s">
        <v>256</v>
      </c>
      <c r="AB46" s="34" t="b">
        <f aca="false">FALSE()</f>
        <v>0</v>
      </c>
      <c r="AC46" s="35" t="n">
        <v>2600</v>
      </c>
      <c r="AD46" s="35" t="n">
        <v>2600</v>
      </c>
      <c r="AE46" s="2" t="s">
        <v>242</v>
      </c>
      <c r="AF46" s="35" t="n">
        <v>2600</v>
      </c>
      <c r="AG46" s="34" t="b">
        <f aca="false">FALSE()</f>
        <v>0</v>
      </c>
      <c r="AH46" s="2"/>
    </row>
    <row r="47" customFormat="false" ht="15" hidden="false" customHeight="false" outlineLevel="0" collapsed="false">
      <c r="A47" s="2" t="s">
        <v>331</v>
      </c>
      <c r="B47" s="2" t="s">
        <v>248</v>
      </c>
      <c r="C47" s="2" t="n">
        <v>3</v>
      </c>
      <c r="D47" s="2" t="s">
        <v>147</v>
      </c>
      <c r="E47" s="2" t="s">
        <v>153</v>
      </c>
      <c r="F47" s="2" t="s">
        <v>224</v>
      </c>
      <c r="G47" s="2" t="s">
        <v>112</v>
      </c>
      <c r="H47" s="2" t="s">
        <v>330</v>
      </c>
      <c r="I47" s="2" t="s">
        <v>123</v>
      </c>
      <c r="J47" s="2" t="s">
        <v>129</v>
      </c>
      <c r="K47" s="2" t="s">
        <v>260</v>
      </c>
      <c r="L47" s="33" t="n">
        <v>45091</v>
      </c>
      <c r="M47" s="33" t="n">
        <v>45093</v>
      </c>
      <c r="N47" s="2" t="n">
        <v>2</v>
      </c>
      <c r="O47" s="2" t="s">
        <v>180</v>
      </c>
      <c r="P47" s="34" t="b">
        <f aca="false">FALSE()</f>
        <v>0</v>
      </c>
      <c r="Q47" s="34" t="b">
        <f aca="false">FALSE()</f>
        <v>0</v>
      </c>
      <c r="R47" s="2" t="n">
        <v>6</v>
      </c>
      <c r="S47" s="2" t="s">
        <v>162</v>
      </c>
      <c r="T47" s="2" t="s">
        <v>246</v>
      </c>
      <c r="U47" s="2" t="s">
        <v>175</v>
      </c>
      <c r="V47" s="34" t="b">
        <f aca="false">FALSE()</f>
        <v>0</v>
      </c>
      <c r="W47" s="2" t="s">
        <v>138</v>
      </c>
      <c r="X47" s="2" t="s">
        <v>250</v>
      </c>
      <c r="Y47" s="34" t="b">
        <f aca="false">FALSE()</f>
        <v>0</v>
      </c>
      <c r="Z47" s="2" t="s">
        <v>143</v>
      </c>
      <c r="AA47" s="2" t="s">
        <v>236</v>
      </c>
      <c r="AB47" s="34" t="b">
        <f aca="false">FALSE()</f>
        <v>0</v>
      </c>
      <c r="AC47" s="35" t="n">
        <v>1326</v>
      </c>
      <c r="AD47" s="35" t="n">
        <v>1326</v>
      </c>
      <c r="AE47" s="2" t="s">
        <v>242</v>
      </c>
      <c r="AF47" s="35" t="n">
        <v>663</v>
      </c>
      <c r="AG47" s="34" t="b">
        <f aca="false">FALSE()</f>
        <v>0</v>
      </c>
      <c r="AH47" s="2"/>
    </row>
    <row r="48" customFormat="false" ht="15" hidden="false" customHeight="false" outlineLevel="0" collapsed="false">
      <c r="A48" s="2" t="s">
        <v>332</v>
      </c>
      <c r="B48" s="2" t="s">
        <v>319</v>
      </c>
      <c r="C48" s="2" t="n">
        <v>45</v>
      </c>
      <c r="D48" s="2" t="s">
        <v>149</v>
      </c>
      <c r="E48" s="2" t="s">
        <v>154</v>
      </c>
      <c r="F48" s="2" t="s">
        <v>233</v>
      </c>
      <c r="G48" s="2" t="s">
        <v>112</v>
      </c>
      <c r="H48" s="2" t="s">
        <v>330</v>
      </c>
      <c r="I48" s="2" t="s">
        <v>123</v>
      </c>
      <c r="J48" s="2" t="s">
        <v>131</v>
      </c>
      <c r="K48" s="2" t="s">
        <v>263</v>
      </c>
      <c r="L48" s="33" t="n">
        <v>45088</v>
      </c>
      <c r="M48" s="33" t="n">
        <v>45095</v>
      </c>
      <c r="N48" s="2" t="n">
        <v>7</v>
      </c>
      <c r="O48" s="2" t="s">
        <v>181</v>
      </c>
      <c r="P48" s="34" t="b">
        <f aca="false">FALSE()</f>
        <v>0</v>
      </c>
      <c r="Q48" s="34" t="b">
        <f aca="false">FALSE()</f>
        <v>0</v>
      </c>
      <c r="R48" s="2" t="n">
        <v>6</v>
      </c>
      <c r="S48" s="2" t="s">
        <v>162</v>
      </c>
      <c r="T48" s="2" t="s">
        <v>246</v>
      </c>
      <c r="U48" s="2" t="s">
        <v>172</v>
      </c>
      <c r="V48" s="34" t="b">
        <f aca="false">FALSE()</f>
        <v>0</v>
      </c>
      <c r="W48" s="2" t="s">
        <v>138</v>
      </c>
      <c r="X48" s="2" t="s">
        <v>250</v>
      </c>
      <c r="Y48" s="34" t="b">
        <f aca="false">FALSE()</f>
        <v>0</v>
      </c>
      <c r="Z48" s="2" t="s">
        <v>142</v>
      </c>
      <c r="AA48" s="2" t="s">
        <v>256</v>
      </c>
      <c r="AB48" s="34" t="b">
        <f aca="false">FALSE()</f>
        <v>0</v>
      </c>
      <c r="AC48" s="35" t="n">
        <v>5157</v>
      </c>
      <c r="AD48" s="35" t="n">
        <v>5157</v>
      </c>
      <c r="AE48" s="2" t="s">
        <v>242</v>
      </c>
      <c r="AF48" s="35" t="n">
        <v>736.71</v>
      </c>
      <c r="AG48" s="34" t="b">
        <f aca="false">FALSE()</f>
        <v>0</v>
      </c>
      <c r="AH48" s="2"/>
    </row>
    <row r="49" customFormat="false" ht="15" hidden="false" customHeight="false" outlineLevel="0" collapsed="false">
      <c r="A49" s="2" t="s">
        <v>333</v>
      </c>
      <c r="B49" s="2" t="s">
        <v>334</v>
      </c>
      <c r="C49" s="2" t="n">
        <v>41</v>
      </c>
      <c r="D49" s="2" t="s">
        <v>149</v>
      </c>
      <c r="E49" s="2" t="s">
        <v>153</v>
      </c>
      <c r="F49" s="2" t="s">
        <v>224</v>
      </c>
      <c r="G49" s="2" t="s">
        <v>112</v>
      </c>
      <c r="H49" s="2" t="s">
        <v>330</v>
      </c>
      <c r="I49" s="2" t="s">
        <v>123</v>
      </c>
      <c r="J49" s="2" t="s">
        <v>133</v>
      </c>
      <c r="K49" s="2" t="s">
        <v>255</v>
      </c>
      <c r="L49" s="33" t="n">
        <v>45071</v>
      </c>
      <c r="M49" s="33" t="n">
        <v>45074</v>
      </c>
      <c r="N49" s="2" t="n">
        <v>3</v>
      </c>
      <c r="O49" s="2" t="s">
        <v>180</v>
      </c>
      <c r="P49" s="34" t="b">
        <f aca="false">FALSE()</f>
        <v>0</v>
      </c>
      <c r="Q49" s="34" t="b">
        <f aca="false">FALSE()</f>
        <v>0</v>
      </c>
      <c r="R49" s="2" t="n">
        <v>5</v>
      </c>
      <c r="S49" s="2" t="s">
        <v>161</v>
      </c>
      <c r="T49" s="2" t="s">
        <v>246</v>
      </c>
      <c r="U49" s="2" t="s">
        <v>176</v>
      </c>
      <c r="V49" s="34" t="b">
        <f aca="false">FALSE()</f>
        <v>0</v>
      </c>
      <c r="W49" s="2" t="s">
        <v>138</v>
      </c>
      <c r="X49" s="2" t="s">
        <v>250</v>
      </c>
      <c r="Y49" s="34" t="b">
        <f aca="false">FALSE()</f>
        <v>0</v>
      </c>
      <c r="Z49" s="2" t="s">
        <v>142</v>
      </c>
      <c r="AA49" s="2" t="s">
        <v>256</v>
      </c>
      <c r="AB49" s="34" t="b">
        <f aca="false">FALSE()</f>
        <v>0</v>
      </c>
      <c r="AC49" s="35" t="n">
        <v>1416</v>
      </c>
      <c r="AD49" s="35" t="n">
        <v>1416</v>
      </c>
      <c r="AE49" s="2" t="s">
        <v>242</v>
      </c>
      <c r="AF49" s="35" t="n">
        <v>472</v>
      </c>
      <c r="AG49" s="34" t="b">
        <f aca="false">FALSE()</f>
        <v>0</v>
      </c>
      <c r="AH49" s="2"/>
    </row>
    <row r="50" customFormat="false" ht="15" hidden="false" customHeight="false" outlineLevel="0" collapsed="false">
      <c r="A50" s="2" t="s">
        <v>335</v>
      </c>
      <c r="B50" s="2" t="s">
        <v>336</v>
      </c>
      <c r="C50" s="2" t="n">
        <v>87</v>
      </c>
      <c r="D50" s="2" t="s">
        <v>150</v>
      </c>
      <c r="E50" s="2" t="s">
        <v>154</v>
      </c>
      <c r="F50" s="2" t="s">
        <v>233</v>
      </c>
      <c r="G50" s="2" t="s">
        <v>112</v>
      </c>
      <c r="H50" s="2" t="s">
        <v>330</v>
      </c>
      <c r="I50" s="2" t="s">
        <v>123</v>
      </c>
      <c r="J50" s="2" t="s">
        <v>132</v>
      </c>
      <c r="K50" s="2" t="s">
        <v>249</v>
      </c>
      <c r="L50" s="33" t="n">
        <v>44972</v>
      </c>
      <c r="M50" s="33" t="n">
        <v>44990</v>
      </c>
      <c r="N50" s="2" t="n">
        <v>18</v>
      </c>
      <c r="O50" s="2" t="s">
        <v>183</v>
      </c>
      <c r="P50" s="34" t="b">
        <f aca="false">TRUE()</f>
        <v>1</v>
      </c>
      <c r="Q50" s="34" t="b">
        <f aca="false">TRUE()</f>
        <v>1</v>
      </c>
      <c r="R50" s="2" t="n">
        <v>2</v>
      </c>
      <c r="S50" s="2" t="s">
        <v>158</v>
      </c>
      <c r="T50" s="2" t="s">
        <v>234</v>
      </c>
      <c r="U50" s="2" t="s">
        <v>175</v>
      </c>
      <c r="V50" s="34" t="b">
        <f aca="false">FALSE()</f>
        <v>0</v>
      </c>
      <c r="W50" s="2" t="s">
        <v>138</v>
      </c>
      <c r="X50" s="2" t="s">
        <v>250</v>
      </c>
      <c r="Y50" s="34" t="b">
        <f aca="false">FALSE()</f>
        <v>0</v>
      </c>
      <c r="Z50" s="2" t="s">
        <v>142</v>
      </c>
      <c r="AA50" s="2" t="s">
        <v>256</v>
      </c>
      <c r="AB50" s="34" t="b">
        <f aca="false">FALSE()</f>
        <v>0</v>
      </c>
      <c r="AC50" s="35"/>
      <c r="AD50" s="35" t="n">
        <v>999</v>
      </c>
      <c r="AE50" s="2" t="s">
        <v>257</v>
      </c>
      <c r="AF50" s="35"/>
      <c r="AG50" s="34" t="b">
        <f aca="false">FALSE()</f>
        <v>0</v>
      </c>
      <c r="AH50" s="2" t="s">
        <v>283</v>
      </c>
    </row>
    <row r="51" customFormat="false" ht="15" hidden="false" customHeight="false" outlineLevel="0" collapsed="false">
      <c r="A51" s="2" t="s">
        <v>337</v>
      </c>
      <c r="B51" s="2" t="s">
        <v>338</v>
      </c>
      <c r="C51" s="2" t="n">
        <v>65</v>
      </c>
      <c r="D51" s="2" t="s">
        <v>150</v>
      </c>
      <c r="E51" s="2" t="s">
        <v>153</v>
      </c>
      <c r="F51" s="2" t="s">
        <v>224</v>
      </c>
      <c r="G51" s="2" t="s">
        <v>112</v>
      </c>
      <c r="H51" s="2" t="s">
        <v>330</v>
      </c>
      <c r="I51" s="2" t="s">
        <v>123</v>
      </c>
      <c r="J51" s="2" t="s">
        <v>130</v>
      </c>
      <c r="K51" s="2" t="s">
        <v>245</v>
      </c>
      <c r="L51" s="33" t="n">
        <v>45127</v>
      </c>
      <c r="M51" s="33" t="n">
        <v>45130</v>
      </c>
      <c r="N51" s="2" t="n">
        <v>3</v>
      </c>
      <c r="O51" s="2" t="s">
        <v>180</v>
      </c>
      <c r="P51" s="34" t="b">
        <f aca="false">FALSE()</f>
        <v>0</v>
      </c>
      <c r="Q51" s="34" t="b">
        <f aca="false">FALSE()</f>
        <v>0</v>
      </c>
      <c r="R51" s="2" t="n">
        <v>7</v>
      </c>
      <c r="S51" s="2" t="s">
        <v>163</v>
      </c>
      <c r="T51" s="2" t="s">
        <v>227</v>
      </c>
      <c r="U51" s="2" t="s">
        <v>176</v>
      </c>
      <c r="V51" s="34" t="b">
        <f aca="false">FALSE()</f>
        <v>0</v>
      </c>
      <c r="W51" s="2" t="s">
        <v>138</v>
      </c>
      <c r="X51" s="2" t="s">
        <v>250</v>
      </c>
      <c r="Y51" s="34" t="b">
        <f aca="false">FALSE()</f>
        <v>0</v>
      </c>
      <c r="Z51" s="2" t="s">
        <v>142</v>
      </c>
      <c r="AA51" s="2" t="s">
        <v>256</v>
      </c>
      <c r="AB51" s="34" t="b">
        <f aca="false">FALSE()</f>
        <v>0</v>
      </c>
      <c r="AC51" s="35"/>
      <c r="AD51" s="35" t="n">
        <v>999</v>
      </c>
      <c r="AE51" s="2" t="s">
        <v>257</v>
      </c>
      <c r="AF51" s="35"/>
      <c r="AG51" s="34" t="b">
        <f aca="false">FALSE()</f>
        <v>0</v>
      </c>
      <c r="AH51" s="2"/>
    </row>
    <row r="52" customFormat="false" ht="15" hidden="false" customHeight="false" outlineLevel="0" collapsed="false">
      <c r="A52" s="2" t="s">
        <v>339</v>
      </c>
      <c r="B52" s="2" t="s">
        <v>340</v>
      </c>
      <c r="C52" s="2" t="n">
        <v>49</v>
      </c>
      <c r="D52" s="2" t="s">
        <v>149</v>
      </c>
      <c r="E52" s="2" t="s">
        <v>153</v>
      </c>
      <c r="F52" s="2" t="s">
        <v>224</v>
      </c>
      <c r="G52" s="2" t="s">
        <v>112</v>
      </c>
      <c r="H52" s="2" t="s">
        <v>330</v>
      </c>
      <c r="I52" s="2" t="s">
        <v>123</v>
      </c>
      <c r="J52" s="2" t="s">
        <v>129</v>
      </c>
      <c r="K52" s="2" t="s">
        <v>260</v>
      </c>
      <c r="L52" s="33" t="n">
        <v>45276</v>
      </c>
      <c r="M52" s="33" t="n">
        <v>45280</v>
      </c>
      <c r="N52" s="2" t="n">
        <v>4</v>
      </c>
      <c r="O52" s="2" t="s">
        <v>181</v>
      </c>
      <c r="P52" s="34" t="b">
        <f aca="false">FALSE()</f>
        <v>0</v>
      </c>
      <c r="Q52" s="34" t="b">
        <f aca="false">FALSE()</f>
        <v>0</v>
      </c>
      <c r="R52" s="2" t="n">
        <v>12</v>
      </c>
      <c r="S52" s="2" t="s">
        <v>168</v>
      </c>
      <c r="T52" s="2" t="s">
        <v>241</v>
      </c>
      <c r="U52" s="2" t="s">
        <v>171</v>
      </c>
      <c r="V52" s="34" t="b">
        <f aca="false">TRUE()</f>
        <v>1</v>
      </c>
      <c r="W52" s="2" t="s">
        <v>137</v>
      </c>
      <c r="X52" s="2" t="s">
        <v>235</v>
      </c>
      <c r="Y52" s="34" t="b">
        <f aca="false">FALSE()</f>
        <v>0</v>
      </c>
      <c r="Z52" s="2" t="s">
        <v>144</v>
      </c>
      <c r="AA52" s="2" t="s">
        <v>229</v>
      </c>
      <c r="AB52" s="34" t="b">
        <f aca="false">TRUE()</f>
        <v>1</v>
      </c>
      <c r="AC52" s="35"/>
      <c r="AD52" s="35" t="n">
        <v>3852</v>
      </c>
      <c r="AE52" s="2" t="s">
        <v>230</v>
      </c>
      <c r="AF52" s="35"/>
      <c r="AG52" s="34" t="b">
        <f aca="false">FALSE()</f>
        <v>0</v>
      </c>
      <c r="AH52" s="2"/>
    </row>
    <row r="53" customFormat="false" ht="15" hidden="false" customHeight="false" outlineLevel="0" collapsed="false">
      <c r="A53" s="2" t="s">
        <v>341</v>
      </c>
      <c r="B53" s="2" t="s">
        <v>238</v>
      </c>
      <c r="C53" s="2" t="n">
        <v>1</v>
      </c>
      <c r="D53" s="2" t="s">
        <v>147</v>
      </c>
      <c r="E53" s="2" t="s">
        <v>153</v>
      </c>
      <c r="F53" s="2" t="s">
        <v>224</v>
      </c>
      <c r="G53" s="2" t="s">
        <v>112</v>
      </c>
      <c r="H53" s="2" t="s">
        <v>330</v>
      </c>
      <c r="I53" s="2" t="s">
        <v>123</v>
      </c>
      <c r="J53" s="2" t="s">
        <v>130</v>
      </c>
      <c r="K53" s="2" t="s">
        <v>245</v>
      </c>
      <c r="L53" s="33" t="n">
        <v>45157</v>
      </c>
      <c r="M53" s="33" t="n">
        <v>45158</v>
      </c>
      <c r="N53" s="2" t="n">
        <v>1</v>
      </c>
      <c r="O53" s="2" t="s">
        <v>180</v>
      </c>
      <c r="P53" s="34" t="b">
        <f aca="false">FALSE()</f>
        <v>0</v>
      </c>
      <c r="Q53" s="34" t="b">
        <f aca="false">FALSE()</f>
        <v>0</v>
      </c>
      <c r="R53" s="2" t="n">
        <v>8</v>
      </c>
      <c r="S53" s="2" t="s">
        <v>164</v>
      </c>
      <c r="T53" s="2" t="s">
        <v>227</v>
      </c>
      <c r="U53" s="2" t="s">
        <v>171</v>
      </c>
      <c r="V53" s="34" t="b">
        <f aca="false">TRUE()</f>
        <v>1</v>
      </c>
      <c r="W53" s="2" t="s">
        <v>139</v>
      </c>
      <c r="X53" s="2" t="s">
        <v>228</v>
      </c>
      <c r="Y53" s="34" t="b">
        <f aca="false">TRUE()</f>
        <v>1</v>
      </c>
      <c r="Z53" s="2" t="s">
        <v>144</v>
      </c>
      <c r="AA53" s="2" t="s">
        <v>229</v>
      </c>
      <c r="AB53" s="34" t="b">
        <f aca="false">TRUE()</f>
        <v>1</v>
      </c>
      <c r="AC53" s="35"/>
      <c r="AD53" s="35" t="n">
        <v>3852</v>
      </c>
      <c r="AE53" s="2" t="s">
        <v>230</v>
      </c>
      <c r="AF53" s="35"/>
      <c r="AG53" s="34" t="b">
        <f aca="false">TRUE()</f>
        <v>1</v>
      </c>
      <c r="AH53" s="2"/>
    </row>
    <row r="54" customFormat="false" ht="15" hidden="false" customHeight="false" outlineLevel="0" collapsed="false">
      <c r="A54" s="2" t="s">
        <v>342</v>
      </c>
      <c r="B54" s="2" t="s">
        <v>343</v>
      </c>
      <c r="C54" s="2" t="n">
        <v>76</v>
      </c>
      <c r="D54" s="2" t="s">
        <v>150</v>
      </c>
      <c r="E54" s="2" t="s">
        <v>154</v>
      </c>
      <c r="F54" s="2" t="s">
        <v>233</v>
      </c>
      <c r="G54" s="2" t="s">
        <v>112</v>
      </c>
      <c r="H54" s="2" t="s">
        <v>330</v>
      </c>
      <c r="I54" s="2" t="s">
        <v>123</v>
      </c>
      <c r="J54" s="2" t="s">
        <v>130</v>
      </c>
      <c r="K54" s="2" t="s">
        <v>245</v>
      </c>
      <c r="L54" s="33" t="n">
        <v>45139</v>
      </c>
      <c r="M54" s="33" t="n">
        <v>45142</v>
      </c>
      <c r="N54" s="2" t="n">
        <v>3</v>
      </c>
      <c r="O54" s="2" t="s">
        <v>180</v>
      </c>
      <c r="P54" s="34" t="b">
        <f aca="false">FALSE()</f>
        <v>0</v>
      </c>
      <c r="Q54" s="34" t="b">
        <f aca="false">FALSE()</f>
        <v>0</v>
      </c>
      <c r="R54" s="2" t="n">
        <v>8</v>
      </c>
      <c r="S54" s="2" t="s">
        <v>164</v>
      </c>
      <c r="T54" s="2" t="s">
        <v>227</v>
      </c>
      <c r="U54" s="2" t="s">
        <v>174</v>
      </c>
      <c r="V54" s="34" t="b">
        <f aca="false">FALSE()</f>
        <v>0</v>
      </c>
      <c r="W54" s="2" t="s">
        <v>139</v>
      </c>
      <c r="X54" s="2" t="s">
        <v>228</v>
      </c>
      <c r="Y54" s="34" t="b">
        <f aca="false">TRUE()</f>
        <v>1</v>
      </c>
      <c r="Z54" s="2" t="s">
        <v>144</v>
      </c>
      <c r="AA54" s="2" t="s">
        <v>229</v>
      </c>
      <c r="AB54" s="34" t="b">
        <f aca="false">TRUE()</f>
        <v>1</v>
      </c>
      <c r="AC54" s="35"/>
      <c r="AD54" s="35" t="n">
        <v>999</v>
      </c>
      <c r="AE54" s="2" t="s">
        <v>257</v>
      </c>
      <c r="AF54" s="35"/>
      <c r="AG54" s="34" t="b">
        <f aca="false">FALSE()</f>
        <v>0</v>
      </c>
      <c r="AH54" s="2"/>
    </row>
    <row r="55" customFormat="false" ht="15" hidden="false" customHeight="false" outlineLevel="0" collapsed="false">
      <c r="A55" s="2" t="s">
        <v>344</v>
      </c>
      <c r="B55" s="2" t="s">
        <v>345</v>
      </c>
      <c r="C55" s="2" t="n">
        <v>81</v>
      </c>
      <c r="D55" s="2" t="s">
        <v>150</v>
      </c>
      <c r="E55" s="2" t="s">
        <v>154</v>
      </c>
      <c r="F55" s="2" t="s">
        <v>233</v>
      </c>
      <c r="G55" s="2" t="s">
        <v>112</v>
      </c>
      <c r="H55" s="2" t="s">
        <v>330</v>
      </c>
      <c r="I55" s="2" t="s">
        <v>123</v>
      </c>
      <c r="J55" s="2" t="s">
        <v>129</v>
      </c>
      <c r="K55" s="2" t="s">
        <v>260</v>
      </c>
      <c r="L55" s="33" t="n">
        <v>45011</v>
      </c>
      <c r="M55" s="33" t="n">
        <v>45025</v>
      </c>
      <c r="N55" s="2" t="n">
        <v>14</v>
      </c>
      <c r="O55" s="2" t="s">
        <v>182</v>
      </c>
      <c r="P55" s="34" t="b">
        <f aca="false">TRUE()</f>
        <v>1</v>
      </c>
      <c r="Q55" s="34" t="b">
        <f aca="false">FALSE()</f>
        <v>0</v>
      </c>
      <c r="R55" s="2" t="n">
        <v>3</v>
      </c>
      <c r="S55" s="2" t="s">
        <v>159</v>
      </c>
      <c r="T55" s="2" t="s">
        <v>234</v>
      </c>
      <c r="U55" s="2" t="s">
        <v>172</v>
      </c>
      <c r="V55" s="34" t="b">
        <f aca="false">FALSE()</f>
        <v>0</v>
      </c>
      <c r="W55" s="2" t="s">
        <v>139</v>
      </c>
      <c r="X55" s="2" t="s">
        <v>228</v>
      </c>
      <c r="Y55" s="34" t="b">
        <f aca="false">TRUE()</f>
        <v>1</v>
      </c>
      <c r="Z55" s="2" t="s">
        <v>142</v>
      </c>
      <c r="AA55" s="2" t="s">
        <v>256</v>
      </c>
      <c r="AB55" s="34" t="b">
        <f aca="false">FALSE()</f>
        <v>0</v>
      </c>
      <c r="AC55" s="35"/>
      <c r="AD55" s="35" t="n">
        <v>999</v>
      </c>
      <c r="AE55" s="2" t="s">
        <v>257</v>
      </c>
      <c r="AF55" s="35"/>
      <c r="AG55" s="34" t="b">
        <f aca="false">FALSE()</f>
        <v>0</v>
      </c>
      <c r="AH55" s="2"/>
    </row>
    <row r="56" customFormat="false" ht="15" hidden="false" customHeight="false" outlineLevel="0" collapsed="false">
      <c r="A56" s="2" t="s">
        <v>346</v>
      </c>
      <c r="B56" s="2" t="s">
        <v>327</v>
      </c>
      <c r="C56" s="2" t="n">
        <v>20</v>
      </c>
      <c r="D56" s="2" t="s">
        <v>148</v>
      </c>
      <c r="E56" s="2" t="s">
        <v>153</v>
      </c>
      <c r="F56" s="2" t="s">
        <v>224</v>
      </c>
      <c r="G56" s="2" t="s">
        <v>112</v>
      </c>
      <c r="H56" s="2" t="s">
        <v>330</v>
      </c>
      <c r="I56" s="2" t="s">
        <v>123</v>
      </c>
      <c r="J56" s="2" t="s">
        <v>134</v>
      </c>
      <c r="K56" s="2" t="s">
        <v>240</v>
      </c>
      <c r="L56" s="33" t="n">
        <v>45069</v>
      </c>
      <c r="M56" s="33" t="n">
        <v>45074</v>
      </c>
      <c r="N56" s="2" t="n">
        <v>5</v>
      </c>
      <c r="O56" s="2" t="s">
        <v>181</v>
      </c>
      <c r="P56" s="34" t="b">
        <f aca="false">FALSE()</f>
        <v>0</v>
      </c>
      <c r="Q56" s="34" t="b">
        <f aca="false">FALSE()</f>
        <v>0</v>
      </c>
      <c r="R56" s="2" t="n">
        <v>5</v>
      </c>
      <c r="S56" s="2" t="s">
        <v>161</v>
      </c>
      <c r="T56" s="2" t="s">
        <v>246</v>
      </c>
      <c r="U56" s="2" t="s">
        <v>174</v>
      </c>
      <c r="V56" s="34" t="b">
        <f aca="false">FALSE()</f>
        <v>0</v>
      </c>
      <c r="W56" s="2" t="s">
        <v>138</v>
      </c>
      <c r="X56" s="2" t="s">
        <v>250</v>
      </c>
      <c r="Y56" s="34" t="b">
        <f aca="false">FALSE()</f>
        <v>0</v>
      </c>
      <c r="Z56" s="2" t="s">
        <v>142</v>
      </c>
      <c r="AA56" s="2" t="s">
        <v>256</v>
      </c>
      <c r="AB56" s="34" t="b">
        <f aca="false">FALSE()</f>
        <v>0</v>
      </c>
      <c r="AC56" s="35"/>
      <c r="AD56" s="35" t="n">
        <v>3852</v>
      </c>
      <c r="AE56" s="2" t="s">
        <v>230</v>
      </c>
      <c r="AF56" s="35"/>
      <c r="AG56" s="34" t="b">
        <f aca="false">FALSE()</f>
        <v>0</v>
      </c>
      <c r="AH56" s="2"/>
    </row>
    <row r="57" customFormat="false" ht="15" hidden="false" customHeight="false" outlineLevel="0" collapsed="false">
      <c r="A57" s="2" t="s">
        <v>347</v>
      </c>
      <c r="B57" s="2" t="s">
        <v>254</v>
      </c>
      <c r="C57" s="2" t="n">
        <v>88</v>
      </c>
      <c r="D57" s="2" t="s">
        <v>150</v>
      </c>
      <c r="E57" s="2" t="s">
        <v>154</v>
      </c>
      <c r="F57" s="2" t="s">
        <v>233</v>
      </c>
      <c r="G57" s="2" t="s">
        <v>112</v>
      </c>
      <c r="H57" s="2" t="s">
        <v>330</v>
      </c>
      <c r="I57" s="2" t="s">
        <v>123</v>
      </c>
      <c r="J57" s="2" t="s">
        <v>133</v>
      </c>
      <c r="K57" s="2" t="s">
        <v>255</v>
      </c>
      <c r="L57" s="33" t="n">
        <v>45127</v>
      </c>
      <c r="M57" s="33" t="n">
        <v>45142</v>
      </c>
      <c r="N57" s="2" t="n">
        <v>15</v>
      </c>
      <c r="O57" s="2" t="s">
        <v>183</v>
      </c>
      <c r="P57" s="34" t="b">
        <f aca="false">TRUE()</f>
        <v>1</v>
      </c>
      <c r="Q57" s="34" t="b">
        <f aca="false">FALSE()</f>
        <v>0</v>
      </c>
      <c r="R57" s="2" t="n">
        <v>7</v>
      </c>
      <c r="S57" s="2" t="s">
        <v>163</v>
      </c>
      <c r="T57" s="2" t="s">
        <v>227</v>
      </c>
      <c r="U57" s="2" t="s">
        <v>176</v>
      </c>
      <c r="V57" s="34" t="b">
        <f aca="false">FALSE()</f>
        <v>0</v>
      </c>
      <c r="W57" s="2" t="s">
        <v>137</v>
      </c>
      <c r="X57" s="2" t="s">
        <v>235</v>
      </c>
      <c r="Y57" s="34" t="b">
        <f aca="false">FALSE()</f>
        <v>0</v>
      </c>
      <c r="Z57" s="2" t="s">
        <v>143</v>
      </c>
      <c r="AA57" s="2" t="s">
        <v>236</v>
      </c>
      <c r="AB57" s="34" t="b">
        <f aca="false">FALSE()</f>
        <v>0</v>
      </c>
      <c r="AC57" s="35"/>
      <c r="AD57" s="35" t="n">
        <v>999</v>
      </c>
      <c r="AE57" s="2" t="s">
        <v>257</v>
      </c>
      <c r="AF57" s="35"/>
      <c r="AG57" s="34" t="b">
        <f aca="false">FALSE()</f>
        <v>0</v>
      </c>
      <c r="AH57" s="2" t="s">
        <v>283</v>
      </c>
    </row>
    <row r="58" customFormat="false" ht="15" hidden="false" customHeight="false" outlineLevel="0" collapsed="false">
      <c r="A58" s="2" t="s">
        <v>348</v>
      </c>
      <c r="B58" s="2" t="s">
        <v>285</v>
      </c>
      <c r="C58" s="2" t="n">
        <v>7</v>
      </c>
      <c r="D58" s="2" t="s">
        <v>147</v>
      </c>
      <c r="E58" s="2" t="s">
        <v>153</v>
      </c>
      <c r="F58" s="2" t="s">
        <v>224</v>
      </c>
      <c r="G58" s="2" t="s">
        <v>112</v>
      </c>
      <c r="H58" s="2" t="s">
        <v>330</v>
      </c>
      <c r="I58" s="2" t="s">
        <v>123</v>
      </c>
      <c r="J58" s="2" t="s">
        <v>129</v>
      </c>
      <c r="K58" s="2" t="s">
        <v>260</v>
      </c>
      <c r="L58" s="33" t="n">
        <v>45133</v>
      </c>
      <c r="M58" s="33" t="n">
        <v>45135</v>
      </c>
      <c r="N58" s="2" t="n">
        <v>2</v>
      </c>
      <c r="O58" s="2" t="s">
        <v>180</v>
      </c>
      <c r="P58" s="34" t="b">
        <f aca="false">FALSE()</f>
        <v>0</v>
      </c>
      <c r="Q58" s="34" t="b">
        <f aca="false">FALSE()</f>
        <v>0</v>
      </c>
      <c r="R58" s="2" t="n">
        <v>7</v>
      </c>
      <c r="S58" s="2" t="s">
        <v>163</v>
      </c>
      <c r="T58" s="2" t="s">
        <v>227</v>
      </c>
      <c r="U58" s="2" t="s">
        <v>175</v>
      </c>
      <c r="V58" s="34" t="b">
        <f aca="false">FALSE()</f>
        <v>0</v>
      </c>
      <c r="W58" s="2" t="s">
        <v>139</v>
      </c>
      <c r="X58" s="2" t="s">
        <v>228</v>
      </c>
      <c r="Y58" s="34" t="b">
        <f aca="false">TRUE()</f>
        <v>1</v>
      </c>
      <c r="Z58" s="2" t="s">
        <v>143</v>
      </c>
      <c r="AA58" s="2" t="s">
        <v>236</v>
      </c>
      <c r="AB58" s="34" t="b">
        <f aca="false">FALSE()</f>
        <v>0</v>
      </c>
      <c r="AC58" s="35"/>
      <c r="AD58" s="35" t="n">
        <v>3852</v>
      </c>
      <c r="AE58" s="2" t="s">
        <v>230</v>
      </c>
      <c r="AF58" s="35"/>
      <c r="AG58" s="34" t="b">
        <f aca="false">TRUE()</f>
        <v>1</v>
      </c>
      <c r="AH58" s="2"/>
    </row>
    <row r="59" customFormat="false" ht="15" hidden="false" customHeight="false" outlineLevel="0" collapsed="false">
      <c r="A59" s="2" t="s">
        <v>349</v>
      </c>
      <c r="B59" s="2" t="s">
        <v>350</v>
      </c>
      <c r="C59" s="2" t="n">
        <v>7</v>
      </c>
      <c r="D59" s="2" t="s">
        <v>147</v>
      </c>
      <c r="E59" s="2" t="s">
        <v>153</v>
      </c>
      <c r="F59" s="2" t="s">
        <v>224</v>
      </c>
      <c r="G59" s="2" t="s">
        <v>112</v>
      </c>
      <c r="H59" s="2" t="s">
        <v>330</v>
      </c>
      <c r="I59" s="2" t="s">
        <v>123</v>
      </c>
      <c r="J59" s="2" t="s">
        <v>134</v>
      </c>
      <c r="K59" s="2" t="s">
        <v>240</v>
      </c>
      <c r="L59" s="33" t="n">
        <v>44987</v>
      </c>
      <c r="M59" s="33" t="n">
        <v>44990</v>
      </c>
      <c r="N59" s="2" t="n">
        <v>3</v>
      </c>
      <c r="O59" s="2" t="s">
        <v>180</v>
      </c>
      <c r="P59" s="34" t="b">
        <f aca="false">FALSE()</f>
        <v>0</v>
      </c>
      <c r="Q59" s="34" t="b">
        <f aca="false">FALSE()</f>
        <v>0</v>
      </c>
      <c r="R59" s="2" t="n">
        <v>3</v>
      </c>
      <c r="S59" s="2" t="s">
        <v>159</v>
      </c>
      <c r="T59" s="2" t="s">
        <v>234</v>
      </c>
      <c r="U59" s="2" t="s">
        <v>176</v>
      </c>
      <c r="V59" s="34" t="b">
        <f aca="false">FALSE()</f>
        <v>0</v>
      </c>
      <c r="W59" s="2" t="s">
        <v>137</v>
      </c>
      <c r="X59" s="2" t="s">
        <v>235</v>
      </c>
      <c r="Y59" s="34" t="b">
        <f aca="false">FALSE()</f>
        <v>0</v>
      </c>
      <c r="Z59" s="2" t="s">
        <v>144</v>
      </c>
      <c r="AA59" s="2" t="s">
        <v>229</v>
      </c>
      <c r="AB59" s="34" t="b">
        <f aca="false">TRUE()</f>
        <v>1</v>
      </c>
      <c r="AC59" s="35" t="n">
        <v>4772</v>
      </c>
      <c r="AD59" s="35" t="n">
        <v>4772</v>
      </c>
      <c r="AE59" s="2" t="s">
        <v>242</v>
      </c>
      <c r="AF59" s="35" t="n">
        <v>1590.67</v>
      </c>
      <c r="AG59" s="34" t="b">
        <f aca="false">FALSE()</f>
        <v>0</v>
      </c>
      <c r="AH59" s="2"/>
    </row>
    <row r="60" customFormat="false" ht="15" hidden="false" customHeight="false" outlineLevel="0" collapsed="false">
      <c r="A60" s="2" t="s">
        <v>351</v>
      </c>
      <c r="B60" s="2" t="s">
        <v>352</v>
      </c>
      <c r="C60" s="2" t="n">
        <v>37</v>
      </c>
      <c r="D60" s="2" t="s">
        <v>148</v>
      </c>
      <c r="E60" s="2" t="s">
        <v>153</v>
      </c>
      <c r="F60" s="2" t="s">
        <v>224</v>
      </c>
      <c r="G60" s="2" t="s">
        <v>112</v>
      </c>
      <c r="H60" s="2" t="s">
        <v>330</v>
      </c>
      <c r="I60" s="2" t="s">
        <v>123</v>
      </c>
      <c r="J60" s="2" t="s">
        <v>133</v>
      </c>
      <c r="K60" s="2" t="s">
        <v>255</v>
      </c>
      <c r="L60" s="33" t="n">
        <v>45091</v>
      </c>
      <c r="M60" s="33" t="n">
        <v>45096</v>
      </c>
      <c r="N60" s="2" t="n">
        <v>5</v>
      </c>
      <c r="O60" s="2" t="s">
        <v>181</v>
      </c>
      <c r="P60" s="34" t="b">
        <f aca="false">FALSE()</f>
        <v>0</v>
      </c>
      <c r="Q60" s="34" t="b">
        <f aca="false">FALSE()</f>
        <v>0</v>
      </c>
      <c r="R60" s="2" t="n">
        <v>6</v>
      </c>
      <c r="S60" s="2" t="s">
        <v>162</v>
      </c>
      <c r="T60" s="2" t="s">
        <v>246</v>
      </c>
      <c r="U60" s="2" t="s">
        <v>175</v>
      </c>
      <c r="V60" s="34" t="b">
        <f aca="false">FALSE()</f>
        <v>0</v>
      </c>
      <c r="W60" s="2" t="s">
        <v>139</v>
      </c>
      <c r="X60" s="2" t="s">
        <v>228</v>
      </c>
      <c r="Y60" s="34" t="b">
        <f aca="false">TRUE()</f>
        <v>1</v>
      </c>
      <c r="Z60" s="2" t="s">
        <v>144</v>
      </c>
      <c r="AA60" s="2" t="s">
        <v>229</v>
      </c>
      <c r="AB60" s="34" t="b">
        <f aca="false">TRUE()</f>
        <v>1</v>
      </c>
      <c r="AC60" s="35"/>
      <c r="AD60" s="35" t="n">
        <v>999</v>
      </c>
      <c r="AE60" s="2" t="s">
        <v>257</v>
      </c>
      <c r="AF60" s="35"/>
      <c r="AG60" s="34" t="b">
        <f aca="false">FALSE()</f>
        <v>0</v>
      </c>
      <c r="AH60" s="2"/>
    </row>
    <row r="61" customFormat="false" ht="15" hidden="false" customHeight="false" outlineLevel="0" collapsed="false">
      <c r="A61" s="2" t="s">
        <v>353</v>
      </c>
      <c r="B61" s="2" t="s">
        <v>354</v>
      </c>
      <c r="C61" s="2" t="n">
        <v>34</v>
      </c>
      <c r="D61" s="2" t="s">
        <v>148</v>
      </c>
      <c r="E61" s="2" t="s">
        <v>153</v>
      </c>
      <c r="F61" s="2" t="s">
        <v>224</v>
      </c>
      <c r="G61" s="2" t="s">
        <v>110</v>
      </c>
      <c r="H61" s="2" t="s">
        <v>355</v>
      </c>
      <c r="I61" s="2" t="s">
        <v>124</v>
      </c>
      <c r="J61" s="2" t="s">
        <v>134</v>
      </c>
      <c r="K61" s="2" t="s">
        <v>240</v>
      </c>
      <c r="L61" s="33" t="n">
        <v>45094</v>
      </c>
      <c r="M61" s="33" t="n">
        <v>45095</v>
      </c>
      <c r="N61" s="2" t="n">
        <v>1</v>
      </c>
      <c r="O61" s="2" t="s">
        <v>180</v>
      </c>
      <c r="P61" s="34" t="b">
        <f aca="false">FALSE()</f>
        <v>0</v>
      </c>
      <c r="Q61" s="34" t="b">
        <f aca="false">FALSE()</f>
        <v>0</v>
      </c>
      <c r="R61" s="2" t="n">
        <v>6</v>
      </c>
      <c r="S61" s="2" t="s">
        <v>162</v>
      </c>
      <c r="T61" s="2" t="s">
        <v>246</v>
      </c>
      <c r="U61" s="2" t="s">
        <v>171</v>
      </c>
      <c r="V61" s="34" t="b">
        <f aca="false">TRUE()</f>
        <v>1</v>
      </c>
      <c r="W61" s="2" t="s">
        <v>137</v>
      </c>
      <c r="X61" s="2" t="s">
        <v>235</v>
      </c>
      <c r="Y61" s="34" t="b">
        <f aca="false">FALSE()</f>
        <v>0</v>
      </c>
      <c r="Z61" s="2" t="s">
        <v>142</v>
      </c>
      <c r="AA61" s="2" t="s">
        <v>256</v>
      </c>
      <c r="AB61" s="34" t="b">
        <f aca="false">FALSE()</f>
        <v>0</v>
      </c>
      <c r="AC61" s="35" t="n">
        <v>503</v>
      </c>
      <c r="AD61" s="35" t="n">
        <v>503</v>
      </c>
      <c r="AE61" s="2" t="s">
        <v>242</v>
      </c>
      <c r="AF61" s="35" t="n">
        <v>503</v>
      </c>
      <c r="AG61" s="34" t="b">
        <f aca="false">FALSE()</f>
        <v>0</v>
      </c>
      <c r="AH61" s="2"/>
    </row>
    <row r="62" customFormat="false" ht="15" hidden="false" customHeight="false" outlineLevel="0" collapsed="false">
      <c r="A62" s="2" t="s">
        <v>356</v>
      </c>
      <c r="B62" s="2" t="s">
        <v>350</v>
      </c>
      <c r="C62" s="2" t="n">
        <v>32</v>
      </c>
      <c r="D62" s="2" t="s">
        <v>148</v>
      </c>
      <c r="E62" s="2" t="s">
        <v>154</v>
      </c>
      <c r="F62" s="2" t="s">
        <v>233</v>
      </c>
      <c r="G62" s="2" t="s">
        <v>110</v>
      </c>
      <c r="H62" s="2" t="s">
        <v>355</v>
      </c>
      <c r="I62" s="2" t="s">
        <v>124</v>
      </c>
      <c r="J62" s="2" t="s">
        <v>133</v>
      </c>
      <c r="K62" s="2" t="s">
        <v>255</v>
      </c>
      <c r="L62" s="33" t="n">
        <v>45038</v>
      </c>
      <c r="M62" s="33" t="n">
        <v>45041</v>
      </c>
      <c r="N62" s="2" t="n">
        <v>3</v>
      </c>
      <c r="O62" s="2" t="s">
        <v>180</v>
      </c>
      <c r="P62" s="34" t="b">
        <f aca="false">FALSE()</f>
        <v>0</v>
      </c>
      <c r="Q62" s="34" t="b">
        <f aca="false">FALSE()</f>
        <v>0</v>
      </c>
      <c r="R62" s="2" t="n">
        <v>4</v>
      </c>
      <c r="S62" s="2" t="s">
        <v>160</v>
      </c>
      <c r="T62" s="2" t="s">
        <v>246</v>
      </c>
      <c r="U62" s="2" t="s">
        <v>171</v>
      </c>
      <c r="V62" s="34" t="b">
        <f aca="false">TRUE()</f>
        <v>1</v>
      </c>
      <c r="W62" s="2" t="s">
        <v>138</v>
      </c>
      <c r="X62" s="2" t="s">
        <v>250</v>
      </c>
      <c r="Y62" s="34" t="b">
        <f aca="false">FALSE()</f>
        <v>0</v>
      </c>
      <c r="Z62" s="2" t="s">
        <v>144</v>
      </c>
      <c r="AA62" s="2" t="s">
        <v>229</v>
      </c>
      <c r="AB62" s="34" t="b">
        <f aca="false">TRUE()</f>
        <v>1</v>
      </c>
      <c r="AC62" s="35"/>
      <c r="AD62" s="35" t="n">
        <v>3852</v>
      </c>
      <c r="AE62" s="2" t="s">
        <v>230</v>
      </c>
      <c r="AF62" s="35"/>
      <c r="AG62" s="34" t="b">
        <f aca="false">FALSE()</f>
        <v>0</v>
      </c>
      <c r="AH62" s="2"/>
    </row>
    <row r="63" customFormat="false" ht="15" hidden="false" customHeight="false" outlineLevel="0" collapsed="false">
      <c r="A63" s="2" t="s">
        <v>357</v>
      </c>
      <c r="B63" s="2" t="s">
        <v>358</v>
      </c>
      <c r="C63" s="2" t="n">
        <v>48</v>
      </c>
      <c r="D63" s="2" t="s">
        <v>149</v>
      </c>
      <c r="E63" s="2" t="s">
        <v>154</v>
      </c>
      <c r="F63" s="2" t="s">
        <v>233</v>
      </c>
      <c r="G63" s="2" t="s">
        <v>110</v>
      </c>
      <c r="H63" s="2" t="s">
        <v>355</v>
      </c>
      <c r="I63" s="2" t="s">
        <v>124</v>
      </c>
      <c r="J63" s="2" t="s">
        <v>133</v>
      </c>
      <c r="K63" s="2" t="s">
        <v>255</v>
      </c>
      <c r="L63" s="33" t="n">
        <v>45083</v>
      </c>
      <c r="M63" s="33" t="n">
        <v>45084</v>
      </c>
      <c r="N63" s="2" t="n">
        <v>1</v>
      </c>
      <c r="O63" s="2" t="s">
        <v>180</v>
      </c>
      <c r="P63" s="34" t="b">
        <f aca="false">FALSE()</f>
        <v>0</v>
      </c>
      <c r="Q63" s="34" t="b">
        <f aca="false">FALSE()</f>
        <v>0</v>
      </c>
      <c r="R63" s="2" t="n">
        <v>6</v>
      </c>
      <c r="S63" s="2" t="s">
        <v>162</v>
      </c>
      <c r="T63" s="2" t="s">
        <v>246</v>
      </c>
      <c r="U63" s="2" t="s">
        <v>174</v>
      </c>
      <c r="V63" s="34" t="b">
        <f aca="false">FALSE()</f>
        <v>0</v>
      </c>
      <c r="W63" s="2" t="s">
        <v>137</v>
      </c>
      <c r="X63" s="2" t="s">
        <v>235</v>
      </c>
      <c r="Y63" s="34" t="b">
        <f aca="false">FALSE()</f>
        <v>0</v>
      </c>
      <c r="Z63" s="2" t="s">
        <v>144</v>
      </c>
      <c r="AA63" s="2" t="s">
        <v>229</v>
      </c>
      <c r="AB63" s="34" t="b">
        <f aca="false">TRUE()</f>
        <v>1</v>
      </c>
      <c r="AC63" s="35" t="n">
        <v>593</v>
      </c>
      <c r="AD63" s="35" t="n">
        <v>593</v>
      </c>
      <c r="AE63" s="2" t="s">
        <v>242</v>
      </c>
      <c r="AF63" s="35" t="n">
        <v>593</v>
      </c>
      <c r="AG63" s="34" t="b">
        <f aca="false">FALSE()</f>
        <v>0</v>
      </c>
      <c r="AH63" s="2"/>
    </row>
    <row r="64" customFormat="false" ht="15" hidden="false" customHeight="false" outlineLevel="0" collapsed="false">
      <c r="A64" s="2" t="s">
        <v>359</v>
      </c>
      <c r="B64" s="2" t="s">
        <v>360</v>
      </c>
      <c r="C64" s="2" t="n">
        <v>76</v>
      </c>
      <c r="D64" s="2" t="s">
        <v>150</v>
      </c>
      <c r="E64" s="2" t="s">
        <v>153</v>
      </c>
      <c r="F64" s="2" t="s">
        <v>224</v>
      </c>
      <c r="G64" s="2" t="s">
        <v>110</v>
      </c>
      <c r="H64" s="2" t="s">
        <v>355</v>
      </c>
      <c r="I64" s="2" t="s">
        <v>124</v>
      </c>
      <c r="J64" s="2" t="s">
        <v>128</v>
      </c>
      <c r="K64" s="2" t="s">
        <v>226</v>
      </c>
      <c r="L64" s="33" t="n">
        <v>44972</v>
      </c>
      <c r="M64" s="33" t="n">
        <v>44984</v>
      </c>
      <c r="N64" s="2" t="n">
        <v>12</v>
      </c>
      <c r="O64" s="2" t="s">
        <v>182</v>
      </c>
      <c r="P64" s="34" t="b">
        <f aca="false">TRUE()</f>
        <v>1</v>
      </c>
      <c r="Q64" s="34" t="b">
        <f aca="false">FALSE()</f>
        <v>0</v>
      </c>
      <c r="R64" s="2" t="n">
        <v>2</v>
      </c>
      <c r="S64" s="2" t="s">
        <v>158</v>
      </c>
      <c r="T64" s="2" t="s">
        <v>234</v>
      </c>
      <c r="U64" s="2" t="s">
        <v>175</v>
      </c>
      <c r="V64" s="34" t="b">
        <f aca="false">FALSE()</f>
        <v>0</v>
      </c>
      <c r="W64" s="2" t="s">
        <v>138</v>
      </c>
      <c r="X64" s="2" t="s">
        <v>250</v>
      </c>
      <c r="Y64" s="34" t="b">
        <f aca="false">FALSE()</f>
        <v>0</v>
      </c>
      <c r="Z64" s="2" t="s">
        <v>143</v>
      </c>
      <c r="AA64" s="2" t="s">
        <v>236</v>
      </c>
      <c r="AB64" s="34" t="b">
        <f aca="false">FALSE()</f>
        <v>0</v>
      </c>
      <c r="AC64" s="35" t="n">
        <v>6763</v>
      </c>
      <c r="AD64" s="35" t="n">
        <v>6763</v>
      </c>
      <c r="AE64" s="2" t="s">
        <v>242</v>
      </c>
      <c r="AF64" s="35" t="n">
        <v>563.58</v>
      </c>
      <c r="AG64" s="34" t="b">
        <f aca="false">FALSE()</f>
        <v>0</v>
      </c>
      <c r="AH64" s="2"/>
    </row>
    <row r="65" customFormat="false" ht="15" hidden="false" customHeight="false" outlineLevel="0" collapsed="false">
      <c r="A65" s="2" t="s">
        <v>361</v>
      </c>
      <c r="B65" s="2" t="s">
        <v>362</v>
      </c>
      <c r="C65" s="2" t="n">
        <v>2</v>
      </c>
      <c r="D65" s="2" t="s">
        <v>147</v>
      </c>
      <c r="E65" s="2" t="s">
        <v>154</v>
      </c>
      <c r="F65" s="2" t="s">
        <v>233</v>
      </c>
      <c r="G65" s="2" t="s">
        <v>110</v>
      </c>
      <c r="H65" s="2" t="s">
        <v>355</v>
      </c>
      <c r="I65" s="2" t="s">
        <v>124</v>
      </c>
      <c r="J65" s="2" t="s">
        <v>131</v>
      </c>
      <c r="K65" s="2" t="s">
        <v>263</v>
      </c>
      <c r="L65" s="33" t="n">
        <v>45141</v>
      </c>
      <c r="M65" s="33" t="n">
        <v>45146</v>
      </c>
      <c r="N65" s="2" t="n">
        <v>5</v>
      </c>
      <c r="O65" s="2" t="s">
        <v>181</v>
      </c>
      <c r="P65" s="34" t="b">
        <f aca="false">FALSE()</f>
        <v>0</v>
      </c>
      <c r="Q65" s="34" t="b">
        <f aca="false">FALSE()</f>
        <v>0</v>
      </c>
      <c r="R65" s="2" t="n">
        <v>8</v>
      </c>
      <c r="S65" s="2" t="s">
        <v>164</v>
      </c>
      <c r="T65" s="2" t="s">
        <v>227</v>
      </c>
      <c r="U65" s="2" t="s">
        <v>176</v>
      </c>
      <c r="V65" s="34" t="b">
        <f aca="false">FALSE()</f>
        <v>0</v>
      </c>
      <c r="W65" s="2" t="s">
        <v>139</v>
      </c>
      <c r="X65" s="2" t="s">
        <v>228</v>
      </c>
      <c r="Y65" s="34" t="b">
        <f aca="false">TRUE()</f>
        <v>1</v>
      </c>
      <c r="Z65" s="2" t="s">
        <v>142</v>
      </c>
      <c r="AA65" s="2" t="s">
        <v>256</v>
      </c>
      <c r="AB65" s="34" t="b">
        <f aca="false">FALSE()</f>
        <v>0</v>
      </c>
      <c r="AC65" s="35" t="n">
        <v>3630</v>
      </c>
      <c r="AD65" s="35" t="n">
        <v>3630</v>
      </c>
      <c r="AE65" s="2" t="s">
        <v>242</v>
      </c>
      <c r="AF65" s="35" t="n">
        <v>726</v>
      </c>
      <c r="AG65" s="34" t="b">
        <f aca="false">FALSE()</f>
        <v>0</v>
      </c>
      <c r="AH65" s="2"/>
    </row>
    <row r="66" customFormat="false" ht="15" hidden="false" customHeight="false" outlineLevel="0" collapsed="false">
      <c r="A66" s="2" t="s">
        <v>363</v>
      </c>
      <c r="B66" s="2" t="s">
        <v>336</v>
      </c>
      <c r="C66" s="2" t="n">
        <v>65</v>
      </c>
      <c r="D66" s="2" t="s">
        <v>150</v>
      </c>
      <c r="E66" s="2" t="s">
        <v>153</v>
      </c>
      <c r="F66" s="2" t="s">
        <v>224</v>
      </c>
      <c r="G66" s="2" t="s">
        <v>110</v>
      </c>
      <c r="H66" s="2" t="s">
        <v>355</v>
      </c>
      <c r="I66" s="2" t="s">
        <v>124</v>
      </c>
      <c r="J66" s="2" t="s">
        <v>129</v>
      </c>
      <c r="K66" s="2" t="s">
        <v>260</v>
      </c>
      <c r="L66" s="33" t="n">
        <v>44997</v>
      </c>
      <c r="M66" s="33" t="n">
        <v>44999</v>
      </c>
      <c r="N66" s="2" t="n">
        <v>2</v>
      </c>
      <c r="O66" s="2" t="s">
        <v>180</v>
      </c>
      <c r="P66" s="34" t="b">
        <f aca="false">FALSE()</f>
        <v>0</v>
      </c>
      <c r="Q66" s="34" t="b">
        <f aca="false">FALSE()</f>
        <v>0</v>
      </c>
      <c r="R66" s="2" t="n">
        <v>3</v>
      </c>
      <c r="S66" s="2" t="s">
        <v>159</v>
      </c>
      <c r="T66" s="2" t="s">
        <v>234</v>
      </c>
      <c r="U66" s="2" t="s">
        <v>172</v>
      </c>
      <c r="V66" s="34" t="b">
        <f aca="false">FALSE()</f>
        <v>0</v>
      </c>
      <c r="W66" s="2" t="s">
        <v>137</v>
      </c>
      <c r="X66" s="2" t="s">
        <v>235</v>
      </c>
      <c r="Y66" s="34" t="b">
        <f aca="false">FALSE()</f>
        <v>0</v>
      </c>
      <c r="Z66" s="2" t="s">
        <v>144</v>
      </c>
      <c r="AA66" s="2" t="s">
        <v>229</v>
      </c>
      <c r="AB66" s="34" t="b">
        <f aca="false">TRUE()</f>
        <v>1</v>
      </c>
      <c r="AC66" s="35"/>
      <c r="AD66" s="35" t="n">
        <v>999</v>
      </c>
      <c r="AE66" s="2" t="s">
        <v>257</v>
      </c>
      <c r="AF66" s="35"/>
      <c r="AG66" s="34" t="b">
        <f aca="false">FALSE()</f>
        <v>0</v>
      </c>
      <c r="AH66" s="2"/>
    </row>
    <row r="67" customFormat="false" ht="15" hidden="false" customHeight="false" outlineLevel="0" collapsed="false">
      <c r="A67" s="2" t="s">
        <v>364</v>
      </c>
      <c r="B67" s="2" t="s">
        <v>365</v>
      </c>
      <c r="C67" s="2" t="n">
        <v>85</v>
      </c>
      <c r="D67" s="2" t="s">
        <v>150</v>
      </c>
      <c r="E67" s="2" t="s">
        <v>153</v>
      </c>
      <c r="F67" s="2" t="s">
        <v>224</v>
      </c>
      <c r="G67" s="2" t="s">
        <v>110</v>
      </c>
      <c r="H67" s="2" t="s">
        <v>355</v>
      </c>
      <c r="I67" s="2" t="s">
        <v>124</v>
      </c>
      <c r="J67" s="2" t="s">
        <v>130</v>
      </c>
      <c r="K67" s="2" t="s">
        <v>245</v>
      </c>
      <c r="L67" s="33" t="n">
        <v>45063</v>
      </c>
      <c r="M67" s="33" t="n">
        <v>45068</v>
      </c>
      <c r="N67" s="2" t="n">
        <v>5</v>
      </c>
      <c r="O67" s="2" t="s">
        <v>181</v>
      </c>
      <c r="P67" s="34" t="b">
        <f aca="false">FALSE()</f>
        <v>0</v>
      </c>
      <c r="Q67" s="34" t="b">
        <f aca="false">FALSE()</f>
        <v>0</v>
      </c>
      <c r="R67" s="2" t="n">
        <v>5</v>
      </c>
      <c r="S67" s="2" t="s">
        <v>161</v>
      </c>
      <c r="T67" s="2" t="s">
        <v>246</v>
      </c>
      <c r="U67" s="2" t="s">
        <v>175</v>
      </c>
      <c r="V67" s="34" t="b">
        <f aca="false">FALSE()</f>
        <v>0</v>
      </c>
      <c r="W67" s="2" t="s">
        <v>139</v>
      </c>
      <c r="X67" s="2" t="s">
        <v>228</v>
      </c>
      <c r="Y67" s="34" t="b">
        <f aca="false">TRUE()</f>
        <v>1</v>
      </c>
      <c r="Z67" s="2" t="s">
        <v>143</v>
      </c>
      <c r="AA67" s="2" t="s">
        <v>236</v>
      </c>
      <c r="AB67" s="34" t="b">
        <f aca="false">FALSE()</f>
        <v>0</v>
      </c>
      <c r="AC67" s="35" t="n">
        <v>5127</v>
      </c>
      <c r="AD67" s="35" t="n">
        <v>5127</v>
      </c>
      <c r="AE67" s="2" t="s">
        <v>242</v>
      </c>
      <c r="AF67" s="35" t="n">
        <v>1025.4</v>
      </c>
      <c r="AG67" s="34" t="b">
        <f aca="false">FALSE()</f>
        <v>0</v>
      </c>
      <c r="AH67" s="2"/>
    </row>
    <row r="68" customFormat="false" ht="15" hidden="false" customHeight="false" outlineLevel="0" collapsed="false">
      <c r="A68" s="2" t="s">
        <v>366</v>
      </c>
      <c r="B68" s="2" t="s">
        <v>350</v>
      </c>
      <c r="C68" s="2" t="n">
        <v>63</v>
      </c>
      <c r="D68" s="2" t="s">
        <v>150</v>
      </c>
      <c r="E68" s="2" t="s">
        <v>154</v>
      </c>
      <c r="F68" s="2" t="s">
        <v>233</v>
      </c>
      <c r="G68" s="2" t="s">
        <v>110</v>
      </c>
      <c r="H68" s="2" t="s">
        <v>355</v>
      </c>
      <c r="I68" s="2" t="s">
        <v>124</v>
      </c>
      <c r="J68" s="2" t="s">
        <v>129</v>
      </c>
      <c r="K68" s="2" t="s">
        <v>260</v>
      </c>
      <c r="L68" s="33" t="n">
        <v>45288</v>
      </c>
      <c r="M68" s="33" t="n">
        <v>45289</v>
      </c>
      <c r="N68" s="2" t="n">
        <v>1</v>
      </c>
      <c r="O68" s="2" t="s">
        <v>180</v>
      </c>
      <c r="P68" s="34" t="b">
        <f aca="false">FALSE()</f>
        <v>0</v>
      </c>
      <c r="Q68" s="34" t="b">
        <f aca="false">FALSE()</f>
        <v>0</v>
      </c>
      <c r="R68" s="2" t="n">
        <v>12</v>
      </c>
      <c r="S68" s="2" t="s">
        <v>168</v>
      </c>
      <c r="T68" s="2" t="s">
        <v>241</v>
      </c>
      <c r="U68" s="2" t="s">
        <v>176</v>
      </c>
      <c r="V68" s="34" t="b">
        <f aca="false">FALSE()</f>
        <v>0</v>
      </c>
      <c r="W68" s="2" t="s">
        <v>138</v>
      </c>
      <c r="X68" s="2" t="s">
        <v>250</v>
      </c>
      <c r="Y68" s="34" t="b">
        <f aca="false">FALSE()</f>
        <v>0</v>
      </c>
      <c r="Z68" s="2" t="s">
        <v>144</v>
      </c>
      <c r="AA68" s="2" t="s">
        <v>229</v>
      </c>
      <c r="AB68" s="34" t="b">
        <f aca="false">TRUE()</f>
        <v>1</v>
      </c>
      <c r="AC68" s="35"/>
      <c r="AD68" s="35" t="n">
        <v>999</v>
      </c>
      <c r="AE68" s="2" t="s">
        <v>257</v>
      </c>
      <c r="AF68" s="35"/>
      <c r="AG68" s="34" t="b">
        <f aca="false">FALSE()</f>
        <v>0</v>
      </c>
      <c r="AH68" s="2"/>
    </row>
    <row r="69" customFormat="false" ht="15" hidden="false" customHeight="false" outlineLevel="0" collapsed="false">
      <c r="A69" s="2" t="s">
        <v>367</v>
      </c>
      <c r="B69" s="2" t="s">
        <v>368</v>
      </c>
      <c r="C69" s="2" t="n">
        <v>55</v>
      </c>
      <c r="D69" s="2" t="s">
        <v>149</v>
      </c>
      <c r="E69" s="2" t="s">
        <v>154</v>
      </c>
      <c r="F69" s="2" t="s">
        <v>233</v>
      </c>
      <c r="G69" s="2" t="s">
        <v>110</v>
      </c>
      <c r="H69" s="2" t="s">
        <v>355</v>
      </c>
      <c r="I69" s="2" t="s">
        <v>124</v>
      </c>
      <c r="J69" s="2" t="s">
        <v>129</v>
      </c>
      <c r="K69" s="2" t="s">
        <v>260</v>
      </c>
      <c r="L69" s="33" t="n">
        <v>45105</v>
      </c>
      <c r="M69" s="33" t="n">
        <v>45119</v>
      </c>
      <c r="N69" s="2" t="n">
        <v>14</v>
      </c>
      <c r="O69" s="2" t="s">
        <v>182</v>
      </c>
      <c r="P69" s="34" t="b">
        <f aca="false">TRUE()</f>
        <v>1</v>
      </c>
      <c r="Q69" s="34" t="b">
        <f aca="false">FALSE()</f>
        <v>0</v>
      </c>
      <c r="R69" s="2" t="n">
        <v>6</v>
      </c>
      <c r="S69" s="2" t="s">
        <v>162</v>
      </c>
      <c r="T69" s="2" t="s">
        <v>246</v>
      </c>
      <c r="U69" s="2" t="s">
        <v>175</v>
      </c>
      <c r="V69" s="34" t="b">
        <f aca="false">FALSE()</f>
        <v>0</v>
      </c>
      <c r="W69" s="2" t="s">
        <v>138</v>
      </c>
      <c r="X69" s="2" t="s">
        <v>250</v>
      </c>
      <c r="Y69" s="34" t="b">
        <f aca="false">FALSE()</f>
        <v>0</v>
      </c>
      <c r="Z69" s="2" t="s">
        <v>144</v>
      </c>
      <c r="AA69" s="2" t="s">
        <v>229</v>
      </c>
      <c r="AB69" s="34" t="b">
        <f aca="false">TRUE()</f>
        <v>1</v>
      </c>
      <c r="AC69" s="35"/>
      <c r="AD69" s="35" t="n">
        <v>999</v>
      </c>
      <c r="AE69" s="2" t="s">
        <v>257</v>
      </c>
      <c r="AF69" s="35"/>
      <c r="AG69" s="34" t="b">
        <f aca="false">FALSE()</f>
        <v>0</v>
      </c>
      <c r="AH69" s="2"/>
    </row>
    <row r="70" customFormat="false" ht="15" hidden="false" customHeight="false" outlineLevel="0" collapsed="false">
      <c r="A70" s="2" t="s">
        <v>369</v>
      </c>
      <c r="B70" s="2" t="s">
        <v>296</v>
      </c>
      <c r="C70" s="2" t="n">
        <v>72</v>
      </c>
      <c r="D70" s="2" t="s">
        <v>150</v>
      </c>
      <c r="E70" s="2" t="s">
        <v>154</v>
      </c>
      <c r="F70" s="2" t="s">
        <v>233</v>
      </c>
      <c r="G70" s="2" t="s">
        <v>110</v>
      </c>
      <c r="H70" s="2" t="s">
        <v>355</v>
      </c>
      <c r="I70" s="2" t="s">
        <v>124</v>
      </c>
      <c r="J70" s="2" t="s">
        <v>132</v>
      </c>
      <c r="K70" s="2" t="s">
        <v>249</v>
      </c>
      <c r="L70" s="33" t="n">
        <v>45267</v>
      </c>
      <c r="M70" s="33" t="n">
        <v>45270</v>
      </c>
      <c r="N70" s="2" t="n">
        <v>3</v>
      </c>
      <c r="O70" s="2" t="s">
        <v>180</v>
      </c>
      <c r="P70" s="34" t="b">
        <f aca="false">FALSE()</f>
        <v>0</v>
      </c>
      <c r="Q70" s="34" t="b">
        <f aca="false">FALSE()</f>
        <v>0</v>
      </c>
      <c r="R70" s="2" t="n">
        <v>12</v>
      </c>
      <c r="S70" s="2" t="s">
        <v>168</v>
      </c>
      <c r="T70" s="2" t="s">
        <v>241</v>
      </c>
      <c r="U70" s="2" t="s">
        <v>176</v>
      </c>
      <c r="V70" s="34" t="b">
        <f aca="false">FALSE()</f>
        <v>0</v>
      </c>
      <c r="W70" s="2" t="s">
        <v>137</v>
      </c>
      <c r="X70" s="2" t="s">
        <v>235</v>
      </c>
      <c r="Y70" s="34" t="b">
        <f aca="false">FALSE()</f>
        <v>0</v>
      </c>
      <c r="Z70" s="2" t="s">
        <v>142</v>
      </c>
      <c r="AA70" s="2" t="s">
        <v>256</v>
      </c>
      <c r="AB70" s="34" t="b">
        <f aca="false">FALSE()</f>
        <v>0</v>
      </c>
      <c r="AC70" s="35"/>
      <c r="AD70" s="35" t="n">
        <v>999</v>
      </c>
      <c r="AE70" s="2" t="s">
        <v>257</v>
      </c>
      <c r="AF70" s="35"/>
      <c r="AG70" s="34" t="b">
        <f aca="false">FALSE()</f>
        <v>0</v>
      </c>
      <c r="AH70" s="2"/>
    </row>
    <row r="71" customFormat="false" ht="15" hidden="false" customHeight="false" outlineLevel="0" collapsed="false">
      <c r="A71" s="2" t="s">
        <v>370</v>
      </c>
      <c r="B71" s="2" t="s">
        <v>338</v>
      </c>
      <c r="C71" s="2" t="n">
        <v>52</v>
      </c>
      <c r="D71" s="2" t="s">
        <v>149</v>
      </c>
      <c r="E71" s="2" t="s">
        <v>154</v>
      </c>
      <c r="F71" s="2" t="s">
        <v>233</v>
      </c>
      <c r="G71" s="2" t="s">
        <v>110</v>
      </c>
      <c r="H71" s="2" t="s">
        <v>355</v>
      </c>
      <c r="I71" s="2" t="s">
        <v>124</v>
      </c>
      <c r="J71" s="2" t="s">
        <v>132</v>
      </c>
      <c r="K71" s="2" t="s">
        <v>249</v>
      </c>
      <c r="L71" s="33" t="n">
        <v>45286</v>
      </c>
      <c r="M71" s="33" t="n">
        <v>45291</v>
      </c>
      <c r="N71" s="2" t="n">
        <v>5</v>
      </c>
      <c r="O71" s="2" t="s">
        <v>181</v>
      </c>
      <c r="P71" s="34" t="b">
        <f aca="false">FALSE()</f>
        <v>0</v>
      </c>
      <c r="Q71" s="34" t="b">
        <f aca="false">FALSE()</f>
        <v>0</v>
      </c>
      <c r="R71" s="2" t="n">
        <v>12</v>
      </c>
      <c r="S71" s="2" t="s">
        <v>168</v>
      </c>
      <c r="T71" s="2" t="s">
        <v>241</v>
      </c>
      <c r="U71" s="2" t="s">
        <v>174</v>
      </c>
      <c r="V71" s="34" t="b">
        <f aca="false">FALSE()</f>
        <v>0</v>
      </c>
      <c r="W71" s="2" t="s">
        <v>137</v>
      </c>
      <c r="X71" s="2" t="s">
        <v>235</v>
      </c>
      <c r="Y71" s="34" t="b">
        <f aca="false">FALSE()</f>
        <v>0</v>
      </c>
      <c r="Z71" s="2" t="s">
        <v>142</v>
      </c>
      <c r="AA71" s="2" t="s">
        <v>256</v>
      </c>
      <c r="AB71" s="34" t="b">
        <f aca="false">FALSE()</f>
        <v>0</v>
      </c>
      <c r="AC71" s="35" t="n">
        <v>3842</v>
      </c>
      <c r="AD71" s="35" t="n">
        <v>3842</v>
      </c>
      <c r="AE71" s="2" t="s">
        <v>242</v>
      </c>
      <c r="AF71" s="35" t="n">
        <v>768.4</v>
      </c>
      <c r="AG71" s="34" t="b">
        <f aca="false">FALSE()</f>
        <v>0</v>
      </c>
      <c r="AH71" s="2"/>
    </row>
    <row r="72" customFormat="false" ht="15" hidden="false" customHeight="false" outlineLevel="0" collapsed="false">
      <c r="A72" s="2" t="s">
        <v>371</v>
      </c>
      <c r="B72" s="2" t="s">
        <v>372</v>
      </c>
      <c r="C72" s="2" t="n">
        <v>45</v>
      </c>
      <c r="D72" s="2" t="s">
        <v>149</v>
      </c>
      <c r="E72" s="2" t="s">
        <v>153</v>
      </c>
      <c r="F72" s="2" t="s">
        <v>224</v>
      </c>
      <c r="G72" s="2" t="s">
        <v>110</v>
      </c>
      <c r="H72" s="2" t="s">
        <v>355</v>
      </c>
      <c r="I72" s="2" t="s">
        <v>124</v>
      </c>
      <c r="J72" s="2" t="s">
        <v>134</v>
      </c>
      <c r="K72" s="2" t="s">
        <v>240</v>
      </c>
      <c r="L72" s="33" t="n">
        <v>45120</v>
      </c>
      <c r="M72" s="33" t="n">
        <v>45123</v>
      </c>
      <c r="N72" s="2" t="n">
        <v>3</v>
      </c>
      <c r="O72" s="2" t="s">
        <v>180</v>
      </c>
      <c r="P72" s="34" t="b">
        <f aca="false">FALSE()</f>
        <v>0</v>
      </c>
      <c r="Q72" s="34" t="b">
        <f aca="false">FALSE()</f>
        <v>0</v>
      </c>
      <c r="R72" s="2" t="n">
        <v>7</v>
      </c>
      <c r="S72" s="2" t="s">
        <v>163</v>
      </c>
      <c r="T72" s="2" t="s">
        <v>227</v>
      </c>
      <c r="U72" s="2" t="s">
        <v>176</v>
      </c>
      <c r="V72" s="34" t="b">
        <f aca="false">FALSE()</f>
        <v>0</v>
      </c>
      <c r="W72" s="2" t="s">
        <v>138</v>
      </c>
      <c r="X72" s="2" t="s">
        <v>250</v>
      </c>
      <c r="Y72" s="34" t="b">
        <f aca="false">FALSE()</f>
        <v>0</v>
      </c>
      <c r="Z72" s="2" t="s">
        <v>142</v>
      </c>
      <c r="AA72" s="2" t="s">
        <v>256</v>
      </c>
      <c r="AB72" s="34" t="b">
        <f aca="false">FALSE()</f>
        <v>0</v>
      </c>
      <c r="AC72" s="35"/>
      <c r="AD72" s="35" t="n">
        <v>3852</v>
      </c>
      <c r="AE72" s="2" t="s">
        <v>230</v>
      </c>
      <c r="AF72" s="35"/>
      <c r="AG72" s="34" t="b">
        <f aca="false">FALSE()</f>
        <v>0</v>
      </c>
      <c r="AH72" s="2"/>
    </row>
    <row r="73" customFormat="false" ht="15" hidden="false" customHeight="false" outlineLevel="0" collapsed="false">
      <c r="A73" s="2" t="s">
        <v>373</v>
      </c>
      <c r="B73" s="2" t="s">
        <v>262</v>
      </c>
      <c r="C73" s="2" t="n">
        <v>57</v>
      </c>
      <c r="D73" s="2" t="s">
        <v>149</v>
      </c>
      <c r="E73" s="2" t="s">
        <v>154</v>
      </c>
      <c r="F73" s="2" t="s">
        <v>233</v>
      </c>
      <c r="G73" s="2" t="s">
        <v>110</v>
      </c>
      <c r="H73" s="2" t="s">
        <v>355</v>
      </c>
      <c r="I73" s="2" t="s">
        <v>124</v>
      </c>
      <c r="J73" s="2" t="s">
        <v>128</v>
      </c>
      <c r="K73" s="2" t="s">
        <v>226</v>
      </c>
      <c r="L73" s="33" t="n">
        <v>45203</v>
      </c>
      <c r="M73" s="33" t="n">
        <v>45209</v>
      </c>
      <c r="N73" s="2" t="n">
        <v>6</v>
      </c>
      <c r="O73" s="2" t="s">
        <v>181</v>
      </c>
      <c r="P73" s="34" t="b">
        <f aca="false">FALSE()</f>
        <v>0</v>
      </c>
      <c r="Q73" s="34" t="b">
        <f aca="false">FALSE()</f>
        <v>0</v>
      </c>
      <c r="R73" s="2" t="n">
        <v>10</v>
      </c>
      <c r="S73" s="2" t="s">
        <v>166</v>
      </c>
      <c r="T73" s="2" t="s">
        <v>241</v>
      </c>
      <c r="U73" s="2" t="s">
        <v>175</v>
      </c>
      <c r="V73" s="34" t="b">
        <f aca="false">FALSE()</f>
        <v>0</v>
      </c>
      <c r="W73" s="2" t="s">
        <v>138</v>
      </c>
      <c r="X73" s="2" t="s">
        <v>250</v>
      </c>
      <c r="Y73" s="34" t="b">
        <f aca="false">FALSE()</f>
        <v>0</v>
      </c>
      <c r="Z73" s="2" t="s">
        <v>142</v>
      </c>
      <c r="AA73" s="2" t="s">
        <v>256</v>
      </c>
      <c r="AB73" s="34" t="b">
        <f aca="false">FALSE()</f>
        <v>0</v>
      </c>
      <c r="AC73" s="35"/>
      <c r="AD73" s="35" t="n">
        <v>3852</v>
      </c>
      <c r="AE73" s="2" t="s">
        <v>230</v>
      </c>
      <c r="AF73" s="35"/>
      <c r="AG73" s="34" t="b">
        <f aca="false">FALSE()</f>
        <v>0</v>
      </c>
      <c r="AH73" s="2"/>
    </row>
    <row r="74" customFormat="false" ht="15" hidden="false" customHeight="false" outlineLevel="0" collapsed="false">
      <c r="A74" s="2" t="s">
        <v>374</v>
      </c>
      <c r="B74" s="2" t="s">
        <v>315</v>
      </c>
      <c r="C74" s="2" t="n">
        <v>60</v>
      </c>
      <c r="D74" s="2" t="s">
        <v>150</v>
      </c>
      <c r="E74" s="2" t="s">
        <v>153</v>
      </c>
      <c r="F74" s="2" t="s">
        <v>224</v>
      </c>
      <c r="G74" s="2" t="s">
        <v>110</v>
      </c>
      <c r="H74" s="2" t="s">
        <v>355</v>
      </c>
      <c r="I74" s="2" t="s">
        <v>124</v>
      </c>
      <c r="J74" s="2" t="s">
        <v>134</v>
      </c>
      <c r="K74" s="2" t="s">
        <v>240</v>
      </c>
      <c r="L74" s="33" t="n">
        <v>45273</v>
      </c>
      <c r="M74" s="33" t="n">
        <v>45280</v>
      </c>
      <c r="N74" s="2" t="n">
        <v>7</v>
      </c>
      <c r="O74" s="2" t="s">
        <v>181</v>
      </c>
      <c r="P74" s="34" t="b">
        <f aca="false">FALSE()</f>
        <v>0</v>
      </c>
      <c r="Q74" s="34" t="b">
        <f aca="false">FALSE()</f>
        <v>0</v>
      </c>
      <c r="R74" s="2" t="n">
        <v>12</v>
      </c>
      <c r="S74" s="2" t="s">
        <v>168</v>
      </c>
      <c r="T74" s="2" t="s">
        <v>241</v>
      </c>
      <c r="U74" s="2" t="s">
        <v>175</v>
      </c>
      <c r="V74" s="34" t="b">
        <f aca="false">FALSE()</f>
        <v>0</v>
      </c>
      <c r="W74" s="2" t="s">
        <v>139</v>
      </c>
      <c r="X74" s="2" t="s">
        <v>228</v>
      </c>
      <c r="Y74" s="34" t="b">
        <f aca="false">TRUE()</f>
        <v>1</v>
      </c>
      <c r="Z74" s="2" t="s">
        <v>142</v>
      </c>
      <c r="AA74" s="2" t="s">
        <v>256</v>
      </c>
      <c r="AB74" s="34" t="b">
        <f aca="false">FALSE()</f>
        <v>0</v>
      </c>
      <c r="AC74" s="35"/>
      <c r="AD74" s="35" t="n">
        <v>3852</v>
      </c>
      <c r="AE74" s="2" t="s">
        <v>230</v>
      </c>
      <c r="AF74" s="35"/>
      <c r="AG74" s="34" t="b">
        <f aca="false">FALSE()</f>
        <v>0</v>
      </c>
      <c r="AH74" s="2"/>
    </row>
    <row r="75" customFormat="false" ht="15" hidden="false" customHeight="false" outlineLevel="0" collapsed="false">
      <c r="A75" s="2" t="s">
        <v>375</v>
      </c>
      <c r="B75" s="2" t="s">
        <v>362</v>
      </c>
      <c r="C75" s="2" t="n">
        <v>72</v>
      </c>
      <c r="D75" s="2" t="s">
        <v>150</v>
      </c>
      <c r="E75" s="2" t="s">
        <v>154</v>
      </c>
      <c r="F75" s="2" t="s">
        <v>233</v>
      </c>
      <c r="G75" s="2" t="s">
        <v>110</v>
      </c>
      <c r="H75" s="2" t="s">
        <v>355</v>
      </c>
      <c r="I75" s="2" t="s">
        <v>124</v>
      </c>
      <c r="J75" s="2" t="s">
        <v>130</v>
      </c>
      <c r="K75" s="2" t="s">
        <v>245</v>
      </c>
      <c r="L75" s="33" t="n">
        <v>45208</v>
      </c>
      <c r="M75" s="33" t="n">
        <v>45213</v>
      </c>
      <c r="N75" s="2" t="n">
        <v>5</v>
      </c>
      <c r="O75" s="2" t="s">
        <v>181</v>
      </c>
      <c r="P75" s="34" t="b">
        <f aca="false">FALSE()</f>
        <v>0</v>
      </c>
      <c r="Q75" s="34" t="b">
        <f aca="false">FALSE()</f>
        <v>0</v>
      </c>
      <c r="R75" s="2" t="n">
        <v>10</v>
      </c>
      <c r="S75" s="2" t="s">
        <v>166</v>
      </c>
      <c r="T75" s="2" t="s">
        <v>241</v>
      </c>
      <c r="U75" s="2" t="s">
        <v>173</v>
      </c>
      <c r="V75" s="34" t="b">
        <f aca="false">FALSE()</f>
        <v>0</v>
      </c>
      <c r="W75" s="2" t="s">
        <v>138</v>
      </c>
      <c r="X75" s="2" t="s">
        <v>250</v>
      </c>
      <c r="Y75" s="34" t="b">
        <f aca="false">FALSE()</f>
        <v>0</v>
      </c>
      <c r="Z75" s="2" t="s">
        <v>142</v>
      </c>
      <c r="AA75" s="2" t="s">
        <v>256</v>
      </c>
      <c r="AB75" s="34" t="b">
        <f aca="false">FALSE()</f>
        <v>0</v>
      </c>
      <c r="AC75" s="35"/>
      <c r="AD75" s="35" t="n">
        <v>3852</v>
      </c>
      <c r="AE75" s="2" t="s">
        <v>230</v>
      </c>
      <c r="AF75" s="35"/>
      <c r="AG75" s="34" t="b">
        <f aca="false">FALSE()</f>
        <v>0</v>
      </c>
      <c r="AH75" s="2"/>
    </row>
    <row r="76" customFormat="false" ht="15" hidden="false" customHeight="false" outlineLevel="0" collapsed="false">
      <c r="A76" s="2" t="s">
        <v>376</v>
      </c>
      <c r="B76" s="2" t="s">
        <v>377</v>
      </c>
      <c r="C76" s="2" t="n">
        <v>25</v>
      </c>
      <c r="D76" s="2" t="s">
        <v>148</v>
      </c>
      <c r="E76" s="2" t="s">
        <v>153</v>
      </c>
      <c r="F76" s="2" t="s">
        <v>224</v>
      </c>
      <c r="G76" s="2" t="s">
        <v>110</v>
      </c>
      <c r="H76" s="2" t="s">
        <v>355</v>
      </c>
      <c r="I76" s="2" t="s">
        <v>124</v>
      </c>
      <c r="J76" s="2" t="s">
        <v>134</v>
      </c>
      <c r="K76" s="2" t="s">
        <v>240</v>
      </c>
      <c r="L76" s="33" t="n">
        <v>45234</v>
      </c>
      <c r="M76" s="33" t="n">
        <v>45237</v>
      </c>
      <c r="N76" s="2" t="n">
        <v>3</v>
      </c>
      <c r="O76" s="2" t="s">
        <v>180</v>
      </c>
      <c r="P76" s="34" t="b">
        <f aca="false">FALSE()</f>
        <v>0</v>
      </c>
      <c r="Q76" s="34" t="b">
        <f aca="false">FALSE()</f>
        <v>0</v>
      </c>
      <c r="R76" s="2" t="n">
        <v>11</v>
      </c>
      <c r="S76" s="2" t="s">
        <v>167</v>
      </c>
      <c r="T76" s="2" t="s">
        <v>241</v>
      </c>
      <c r="U76" s="2" t="s">
        <v>171</v>
      </c>
      <c r="V76" s="34" t="b">
        <f aca="false">TRUE()</f>
        <v>1</v>
      </c>
      <c r="W76" s="2" t="s">
        <v>137</v>
      </c>
      <c r="X76" s="2" t="s">
        <v>235</v>
      </c>
      <c r="Y76" s="34" t="b">
        <f aca="false">FALSE()</f>
        <v>0</v>
      </c>
      <c r="Z76" s="2" t="s">
        <v>143</v>
      </c>
      <c r="AA76" s="2" t="s">
        <v>236</v>
      </c>
      <c r="AB76" s="34" t="b">
        <f aca="false">FALSE()</f>
        <v>0</v>
      </c>
      <c r="AC76" s="35"/>
      <c r="AD76" s="35" t="n">
        <v>3852</v>
      </c>
      <c r="AE76" s="2" t="s">
        <v>230</v>
      </c>
      <c r="AF76" s="35"/>
      <c r="AG76" s="34" t="b">
        <f aca="false">FALSE()</f>
        <v>0</v>
      </c>
      <c r="AH76" s="2"/>
    </row>
    <row r="77" customFormat="false" ht="15" hidden="false" customHeight="false" outlineLevel="0" collapsed="false">
      <c r="A77" s="2" t="s">
        <v>378</v>
      </c>
      <c r="B77" s="2" t="s">
        <v>379</v>
      </c>
      <c r="C77" s="2" t="n">
        <v>8</v>
      </c>
      <c r="D77" s="2" t="s">
        <v>147</v>
      </c>
      <c r="E77" s="2" t="s">
        <v>154</v>
      </c>
      <c r="F77" s="2" t="s">
        <v>233</v>
      </c>
      <c r="G77" s="2" t="s">
        <v>110</v>
      </c>
      <c r="H77" s="2" t="s">
        <v>355</v>
      </c>
      <c r="I77" s="2" t="s">
        <v>124</v>
      </c>
      <c r="J77" s="2" t="s">
        <v>134</v>
      </c>
      <c r="K77" s="2" t="s">
        <v>240</v>
      </c>
      <c r="L77" s="33" t="n">
        <v>45216</v>
      </c>
      <c r="M77" s="33" t="n">
        <v>45230</v>
      </c>
      <c r="N77" s="2" t="n">
        <v>14</v>
      </c>
      <c r="O77" s="2" t="s">
        <v>182</v>
      </c>
      <c r="P77" s="34" t="b">
        <f aca="false">TRUE()</f>
        <v>1</v>
      </c>
      <c r="Q77" s="34" t="b">
        <f aca="false">FALSE()</f>
        <v>0</v>
      </c>
      <c r="R77" s="2" t="n">
        <v>10</v>
      </c>
      <c r="S77" s="2" t="s">
        <v>166</v>
      </c>
      <c r="T77" s="2" t="s">
        <v>241</v>
      </c>
      <c r="U77" s="2" t="s">
        <v>174</v>
      </c>
      <c r="V77" s="34" t="b">
        <f aca="false">FALSE()</f>
        <v>0</v>
      </c>
      <c r="W77" s="2" t="s">
        <v>138</v>
      </c>
      <c r="X77" s="2" t="s">
        <v>250</v>
      </c>
      <c r="Y77" s="34" t="b">
        <f aca="false">FALSE()</f>
        <v>0</v>
      </c>
      <c r="Z77" s="2" t="s">
        <v>143</v>
      </c>
      <c r="AA77" s="2" t="s">
        <v>236</v>
      </c>
      <c r="AB77" s="34" t="b">
        <f aca="false">FALSE()</f>
        <v>0</v>
      </c>
      <c r="AC77" s="35"/>
      <c r="AD77" s="35" t="n">
        <v>3852</v>
      </c>
      <c r="AE77" s="2" t="s">
        <v>230</v>
      </c>
      <c r="AF77" s="35"/>
      <c r="AG77" s="34" t="b">
        <f aca="false">FALSE()</f>
        <v>0</v>
      </c>
      <c r="AH77" s="2"/>
    </row>
    <row r="78" customFormat="false" ht="15" hidden="false" customHeight="false" outlineLevel="0" collapsed="false">
      <c r="A78" s="2" t="s">
        <v>380</v>
      </c>
      <c r="B78" s="2" t="s">
        <v>270</v>
      </c>
      <c r="C78" s="2" t="n">
        <v>32</v>
      </c>
      <c r="D78" s="2" t="s">
        <v>148</v>
      </c>
      <c r="E78" s="2" t="s">
        <v>154</v>
      </c>
      <c r="F78" s="2" t="s">
        <v>233</v>
      </c>
      <c r="G78" s="2" t="s">
        <v>110</v>
      </c>
      <c r="H78" s="2" t="s">
        <v>355</v>
      </c>
      <c r="I78" s="2" t="s">
        <v>124</v>
      </c>
      <c r="J78" s="2" t="s">
        <v>131</v>
      </c>
      <c r="K78" s="2" t="s">
        <v>263</v>
      </c>
      <c r="L78" s="33" t="n">
        <v>45056</v>
      </c>
      <c r="M78" s="33" t="n">
        <v>45060</v>
      </c>
      <c r="N78" s="2" t="n">
        <v>4</v>
      </c>
      <c r="O78" s="2" t="s">
        <v>181</v>
      </c>
      <c r="P78" s="34" t="b">
        <f aca="false">FALSE()</f>
        <v>0</v>
      </c>
      <c r="Q78" s="34" t="b">
        <f aca="false">FALSE()</f>
        <v>0</v>
      </c>
      <c r="R78" s="2" t="n">
        <v>5</v>
      </c>
      <c r="S78" s="2" t="s">
        <v>161</v>
      </c>
      <c r="T78" s="2" t="s">
        <v>246</v>
      </c>
      <c r="U78" s="2" t="s">
        <v>175</v>
      </c>
      <c r="V78" s="34" t="b">
        <f aca="false">FALSE()</f>
        <v>0</v>
      </c>
      <c r="W78" s="2" t="s">
        <v>139</v>
      </c>
      <c r="X78" s="2" t="s">
        <v>228</v>
      </c>
      <c r="Y78" s="34" t="b">
        <f aca="false">TRUE()</f>
        <v>1</v>
      </c>
      <c r="Z78" s="2" t="s">
        <v>143</v>
      </c>
      <c r="AA78" s="2" t="s">
        <v>236</v>
      </c>
      <c r="AB78" s="34" t="b">
        <f aca="false">FALSE()</f>
        <v>0</v>
      </c>
      <c r="AC78" s="35"/>
      <c r="AD78" s="35" t="n">
        <v>3852</v>
      </c>
      <c r="AE78" s="2" t="s">
        <v>230</v>
      </c>
      <c r="AF78" s="35"/>
      <c r="AG78" s="34" t="b">
        <f aca="false">FALSE()</f>
        <v>0</v>
      </c>
      <c r="AH78" s="2"/>
    </row>
    <row r="79" customFormat="false" ht="15" hidden="false" customHeight="false" outlineLevel="0" collapsed="false">
      <c r="A79" s="2" t="s">
        <v>381</v>
      </c>
      <c r="B79" s="2" t="s">
        <v>382</v>
      </c>
      <c r="C79" s="2" t="n">
        <v>31</v>
      </c>
      <c r="D79" s="2" t="s">
        <v>148</v>
      </c>
      <c r="E79" s="2" t="s">
        <v>153</v>
      </c>
      <c r="F79" s="2" t="s">
        <v>224</v>
      </c>
      <c r="G79" s="2" t="s">
        <v>110</v>
      </c>
      <c r="H79" s="2" t="s">
        <v>355</v>
      </c>
      <c r="I79" s="2" t="s">
        <v>124</v>
      </c>
      <c r="J79" s="2" t="s">
        <v>130</v>
      </c>
      <c r="K79" s="2" t="s">
        <v>245</v>
      </c>
      <c r="L79" s="33" t="n">
        <v>45013</v>
      </c>
      <c r="M79" s="33" t="n">
        <v>45015</v>
      </c>
      <c r="N79" s="2" t="n">
        <v>2</v>
      </c>
      <c r="O79" s="2" t="s">
        <v>180</v>
      </c>
      <c r="P79" s="34" t="b">
        <f aca="false">FALSE()</f>
        <v>0</v>
      </c>
      <c r="Q79" s="34" t="b">
        <f aca="false">FALSE()</f>
        <v>0</v>
      </c>
      <c r="R79" s="2" t="n">
        <v>3</v>
      </c>
      <c r="S79" s="2" t="s">
        <v>159</v>
      </c>
      <c r="T79" s="2" t="s">
        <v>234</v>
      </c>
      <c r="U79" s="2" t="s">
        <v>174</v>
      </c>
      <c r="V79" s="34" t="b">
        <f aca="false">FALSE()</f>
        <v>0</v>
      </c>
      <c r="W79" s="2" t="s">
        <v>139</v>
      </c>
      <c r="X79" s="2" t="s">
        <v>228</v>
      </c>
      <c r="Y79" s="34" t="b">
        <f aca="false">TRUE()</f>
        <v>1</v>
      </c>
      <c r="Z79" s="2" t="s">
        <v>142</v>
      </c>
      <c r="AA79" s="2" t="s">
        <v>256</v>
      </c>
      <c r="AB79" s="34" t="b">
        <f aca="false">FALSE()</f>
        <v>0</v>
      </c>
      <c r="AC79" s="35"/>
      <c r="AD79" s="35" t="n">
        <v>999</v>
      </c>
      <c r="AE79" s="2" t="s">
        <v>257</v>
      </c>
      <c r="AF79" s="35"/>
      <c r="AG79" s="34" t="b">
        <f aca="false">FALSE()</f>
        <v>0</v>
      </c>
      <c r="AH79" s="2"/>
    </row>
    <row r="80" customFormat="false" ht="15" hidden="false" customHeight="false" outlineLevel="0" collapsed="false">
      <c r="A80" s="2" t="s">
        <v>383</v>
      </c>
      <c r="B80" s="2" t="s">
        <v>384</v>
      </c>
      <c r="C80" s="2" t="n">
        <v>17</v>
      </c>
      <c r="D80" s="2" t="s">
        <v>147</v>
      </c>
      <c r="E80" s="2" t="s">
        <v>154</v>
      </c>
      <c r="F80" s="2" t="s">
        <v>233</v>
      </c>
      <c r="G80" s="2" t="s">
        <v>110</v>
      </c>
      <c r="H80" s="2" t="s">
        <v>355</v>
      </c>
      <c r="I80" s="2" t="s">
        <v>124</v>
      </c>
      <c r="J80" s="2" t="s">
        <v>130</v>
      </c>
      <c r="K80" s="2" t="s">
        <v>245</v>
      </c>
      <c r="L80" s="33" t="n">
        <v>44968</v>
      </c>
      <c r="M80" s="33" t="n">
        <v>44984</v>
      </c>
      <c r="N80" s="2" t="n">
        <v>16</v>
      </c>
      <c r="O80" s="2" t="s">
        <v>183</v>
      </c>
      <c r="P80" s="34" t="b">
        <f aca="false">TRUE()</f>
        <v>1</v>
      </c>
      <c r="Q80" s="34" t="b">
        <f aca="false">FALSE()</f>
        <v>0</v>
      </c>
      <c r="R80" s="2" t="n">
        <v>2</v>
      </c>
      <c r="S80" s="2" t="s">
        <v>158</v>
      </c>
      <c r="T80" s="2" t="s">
        <v>234</v>
      </c>
      <c r="U80" s="2" t="s">
        <v>171</v>
      </c>
      <c r="V80" s="34" t="b">
        <f aca="false">TRUE()</f>
        <v>1</v>
      </c>
      <c r="W80" s="2" t="s">
        <v>138</v>
      </c>
      <c r="X80" s="2" t="s">
        <v>250</v>
      </c>
      <c r="Y80" s="34" t="b">
        <f aca="false">FALSE()</f>
        <v>0</v>
      </c>
      <c r="Z80" s="2" t="s">
        <v>142</v>
      </c>
      <c r="AA80" s="2" t="s">
        <v>256</v>
      </c>
      <c r="AB80" s="34" t="b">
        <f aca="false">FALSE()</f>
        <v>0</v>
      </c>
      <c r="AC80" s="35"/>
      <c r="AD80" s="35" t="n">
        <v>3852</v>
      </c>
      <c r="AE80" s="2" t="s">
        <v>230</v>
      </c>
      <c r="AF80" s="35"/>
      <c r="AG80" s="34" t="b">
        <f aca="false">FALSE()</f>
        <v>0</v>
      </c>
      <c r="AH80" s="2"/>
    </row>
    <row r="81" customFormat="false" ht="15" hidden="false" customHeight="false" outlineLevel="0" collapsed="false">
      <c r="A81" s="2" t="s">
        <v>385</v>
      </c>
      <c r="B81" s="2" t="s">
        <v>365</v>
      </c>
      <c r="C81" s="2" t="n">
        <v>42</v>
      </c>
      <c r="D81" s="2" t="s">
        <v>149</v>
      </c>
      <c r="E81" s="2" t="s">
        <v>154</v>
      </c>
      <c r="F81" s="2" t="s">
        <v>233</v>
      </c>
      <c r="G81" s="2" t="s">
        <v>110</v>
      </c>
      <c r="H81" s="2" t="s">
        <v>355</v>
      </c>
      <c r="I81" s="2" t="s">
        <v>124</v>
      </c>
      <c r="J81" s="2" t="s">
        <v>133</v>
      </c>
      <c r="K81" s="2" t="s">
        <v>255</v>
      </c>
      <c r="L81" s="33" t="n">
        <v>44976</v>
      </c>
      <c r="M81" s="33" t="n">
        <v>44977</v>
      </c>
      <c r="N81" s="2" t="n">
        <v>1</v>
      </c>
      <c r="O81" s="2" t="s">
        <v>180</v>
      </c>
      <c r="P81" s="34" t="b">
        <f aca="false">FALSE()</f>
        <v>0</v>
      </c>
      <c r="Q81" s="34" t="b">
        <f aca="false">FALSE()</f>
        <v>0</v>
      </c>
      <c r="R81" s="2" t="n">
        <v>2</v>
      </c>
      <c r="S81" s="2" t="s">
        <v>158</v>
      </c>
      <c r="T81" s="2" t="s">
        <v>234</v>
      </c>
      <c r="U81" s="2" t="s">
        <v>172</v>
      </c>
      <c r="V81" s="34" t="b">
        <f aca="false">FALSE()</f>
        <v>0</v>
      </c>
      <c r="W81" s="2" t="s">
        <v>138</v>
      </c>
      <c r="X81" s="2" t="s">
        <v>250</v>
      </c>
      <c r="Y81" s="34" t="b">
        <f aca="false">FALSE()</f>
        <v>0</v>
      </c>
      <c r="Z81" s="2" t="s">
        <v>143</v>
      </c>
      <c r="AA81" s="2" t="s">
        <v>236</v>
      </c>
      <c r="AB81" s="34" t="b">
        <f aca="false">FALSE()</f>
        <v>0</v>
      </c>
      <c r="AC81" s="35" t="n">
        <v>592</v>
      </c>
      <c r="AD81" s="35" t="n">
        <v>592</v>
      </c>
      <c r="AE81" s="2" t="s">
        <v>242</v>
      </c>
      <c r="AF81" s="35" t="n">
        <v>592</v>
      </c>
      <c r="AG81" s="34" t="b">
        <f aca="false">FALSE()</f>
        <v>0</v>
      </c>
      <c r="AH81" s="2"/>
    </row>
    <row r="82" customFormat="false" ht="15" hidden="false" customHeight="false" outlineLevel="0" collapsed="false">
      <c r="A82" s="2" t="s">
        <v>386</v>
      </c>
      <c r="B82" s="2" t="s">
        <v>365</v>
      </c>
      <c r="C82" s="2" t="n">
        <v>7</v>
      </c>
      <c r="D82" s="2" t="s">
        <v>147</v>
      </c>
      <c r="E82" s="2" t="s">
        <v>153</v>
      </c>
      <c r="F82" s="2" t="s">
        <v>224</v>
      </c>
      <c r="G82" s="2" t="s">
        <v>110</v>
      </c>
      <c r="H82" s="2" t="s">
        <v>355</v>
      </c>
      <c r="I82" s="2" t="s">
        <v>124</v>
      </c>
      <c r="J82" s="2" t="s">
        <v>130</v>
      </c>
      <c r="K82" s="2" t="s">
        <v>245</v>
      </c>
      <c r="L82" s="33" t="n">
        <v>45254</v>
      </c>
      <c r="M82" s="33" t="n">
        <v>45256</v>
      </c>
      <c r="N82" s="2" t="n">
        <v>2</v>
      </c>
      <c r="O82" s="2" t="s">
        <v>180</v>
      </c>
      <c r="P82" s="34" t="b">
        <f aca="false">FALSE()</f>
        <v>0</v>
      </c>
      <c r="Q82" s="34" t="b">
        <f aca="false">FALSE()</f>
        <v>0</v>
      </c>
      <c r="R82" s="2" t="n">
        <v>11</v>
      </c>
      <c r="S82" s="2" t="s">
        <v>167</v>
      </c>
      <c r="T82" s="2" t="s">
        <v>241</v>
      </c>
      <c r="U82" s="2" t="s">
        <v>177</v>
      </c>
      <c r="V82" s="34" t="b">
        <f aca="false">TRUE()</f>
        <v>1</v>
      </c>
      <c r="W82" s="2" t="s">
        <v>139</v>
      </c>
      <c r="X82" s="2" t="s">
        <v>228</v>
      </c>
      <c r="Y82" s="34" t="b">
        <f aca="false">TRUE()</f>
        <v>1</v>
      </c>
      <c r="Z82" s="2" t="s">
        <v>143</v>
      </c>
      <c r="AA82" s="2" t="s">
        <v>236</v>
      </c>
      <c r="AB82" s="34" t="b">
        <f aca="false">FALSE()</f>
        <v>0</v>
      </c>
      <c r="AC82" s="35"/>
      <c r="AD82" s="35" t="n">
        <v>999</v>
      </c>
      <c r="AE82" s="2" t="s">
        <v>257</v>
      </c>
      <c r="AF82" s="35"/>
      <c r="AG82" s="34" t="b">
        <f aca="false">FALSE()</f>
        <v>0</v>
      </c>
      <c r="AH82" s="2"/>
    </row>
    <row r="83" customFormat="false" ht="15" hidden="false" customHeight="false" outlineLevel="0" collapsed="false">
      <c r="A83" s="2" t="s">
        <v>387</v>
      </c>
      <c r="B83" s="2" t="s">
        <v>244</v>
      </c>
      <c r="C83" s="2" t="n">
        <v>88</v>
      </c>
      <c r="D83" s="2" t="s">
        <v>150</v>
      </c>
      <c r="E83" s="2" t="s">
        <v>154</v>
      </c>
      <c r="F83" s="2" t="s">
        <v>233</v>
      </c>
      <c r="G83" s="2" t="s">
        <v>110</v>
      </c>
      <c r="H83" s="2" t="s">
        <v>355</v>
      </c>
      <c r="I83" s="2" t="s">
        <v>124</v>
      </c>
      <c r="J83" s="2" t="s">
        <v>129</v>
      </c>
      <c r="K83" s="2" t="s">
        <v>260</v>
      </c>
      <c r="L83" s="33" t="n">
        <v>44959</v>
      </c>
      <c r="M83" s="33" t="n">
        <v>44964</v>
      </c>
      <c r="N83" s="2" t="n">
        <v>5</v>
      </c>
      <c r="O83" s="2" t="s">
        <v>181</v>
      </c>
      <c r="P83" s="34" t="b">
        <f aca="false">FALSE()</f>
        <v>0</v>
      </c>
      <c r="Q83" s="34" t="b">
        <f aca="false">FALSE()</f>
        <v>0</v>
      </c>
      <c r="R83" s="2" t="n">
        <v>2</v>
      </c>
      <c r="S83" s="2" t="s">
        <v>158</v>
      </c>
      <c r="T83" s="2" t="s">
        <v>234</v>
      </c>
      <c r="U83" s="2" t="s">
        <v>176</v>
      </c>
      <c r="V83" s="34" t="b">
        <f aca="false">FALSE()</f>
        <v>0</v>
      </c>
      <c r="W83" s="2" t="s">
        <v>138</v>
      </c>
      <c r="X83" s="2" t="s">
        <v>250</v>
      </c>
      <c r="Y83" s="34" t="b">
        <f aca="false">FALSE()</f>
        <v>0</v>
      </c>
      <c r="Z83" s="2" t="s">
        <v>142</v>
      </c>
      <c r="AA83" s="2" t="s">
        <v>256</v>
      </c>
      <c r="AB83" s="34" t="b">
        <f aca="false">FALSE()</f>
        <v>0</v>
      </c>
      <c r="AC83" s="35" t="n">
        <v>3857</v>
      </c>
      <c r="AD83" s="35" t="n">
        <v>3857</v>
      </c>
      <c r="AE83" s="2" t="s">
        <v>242</v>
      </c>
      <c r="AF83" s="35" t="n">
        <v>771.4</v>
      </c>
      <c r="AG83" s="34" t="b">
        <f aca="false">FALSE()</f>
        <v>0</v>
      </c>
      <c r="AH83" s="2"/>
    </row>
    <row r="84" customFormat="false" ht="15" hidden="false" customHeight="false" outlineLevel="0" collapsed="false">
      <c r="A84" s="2" t="s">
        <v>388</v>
      </c>
      <c r="B84" s="2" t="s">
        <v>315</v>
      </c>
      <c r="C84" s="2" t="n">
        <v>29</v>
      </c>
      <c r="D84" s="2" t="s">
        <v>148</v>
      </c>
      <c r="E84" s="2" t="s">
        <v>154</v>
      </c>
      <c r="F84" s="2" t="s">
        <v>233</v>
      </c>
      <c r="G84" s="2" t="s">
        <v>110</v>
      </c>
      <c r="H84" s="2" t="s">
        <v>355</v>
      </c>
      <c r="I84" s="2" t="s">
        <v>124</v>
      </c>
      <c r="J84" s="2" t="s">
        <v>129</v>
      </c>
      <c r="K84" s="2" t="s">
        <v>260</v>
      </c>
      <c r="L84" s="33" t="n">
        <v>45041</v>
      </c>
      <c r="M84" s="33" t="n">
        <v>45059</v>
      </c>
      <c r="N84" s="2" t="n">
        <v>18</v>
      </c>
      <c r="O84" s="2" t="s">
        <v>183</v>
      </c>
      <c r="P84" s="34" t="b">
        <f aca="false">TRUE()</f>
        <v>1</v>
      </c>
      <c r="Q84" s="34" t="b">
        <f aca="false">TRUE()</f>
        <v>1</v>
      </c>
      <c r="R84" s="2" t="n">
        <v>4</v>
      </c>
      <c r="S84" s="2" t="s">
        <v>160</v>
      </c>
      <c r="T84" s="2" t="s">
        <v>246</v>
      </c>
      <c r="U84" s="2" t="s">
        <v>174</v>
      </c>
      <c r="V84" s="34" t="b">
        <f aca="false">FALSE()</f>
        <v>0</v>
      </c>
      <c r="W84" s="2" t="s">
        <v>139</v>
      </c>
      <c r="X84" s="2" t="s">
        <v>228</v>
      </c>
      <c r="Y84" s="34" t="b">
        <f aca="false">TRUE()</f>
        <v>1</v>
      </c>
      <c r="Z84" s="2" t="s">
        <v>143</v>
      </c>
      <c r="AA84" s="2" t="s">
        <v>236</v>
      </c>
      <c r="AB84" s="34" t="b">
        <f aca="false">FALSE()</f>
        <v>0</v>
      </c>
      <c r="AC84" s="35"/>
      <c r="AD84" s="35" t="n">
        <v>3852</v>
      </c>
      <c r="AE84" s="2" t="s">
        <v>230</v>
      </c>
      <c r="AF84" s="35"/>
      <c r="AG84" s="34" t="b">
        <f aca="false">FALSE()</f>
        <v>0</v>
      </c>
      <c r="AH84" s="2"/>
    </row>
    <row r="85" customFormat="false" ht="15" hidden="false" customHeight="false" outlineLevel="0" collapsed="false">
      <c r="A85" s="2" t="s">
        <v>389</v>
      </c>
      <c r="B85" s="2" t="s">
        <v>390</v>
      </c>
      <c r="C85" s="2" t="n">
        <v>10</v>
      </c>
      <c r="D85" s="2" t="s">
        <v>147</v>
      </c>
      <c r="E85" s="2" t="s">
        <v>154</v>
      </c>
      <c r="F85" s="2" t="s">
        <v>233</v>
      </c>
      <c r="G85" s="2" t="s">
        <v>110</v>
      </c>
      <c r="H85" s="2" t="s">
        <v>355</v>
      </c>
      <c r="I85" s="2" t="s">
        <v>124</v>
      </c>
      <c r="J85" s="2" t="s">
        <v>133</v>
      </c>
      <c r="K85" s="2" t="s">
        <v>255</v>
      </c>
      <c r="L85" s="33" t="n">
        <v>45201</v>
      </c>
      <c r="M85" s="33" t="n">
        <v>45205</v>
      </c>
      <c r="N85" s="2" t="n">
        <v>4</v>
      </c>
      <c r="O85" s="2" t="s">
        <v>181</v>
      </c>
      <c r="P85" s="34" t="b">
        <f aca="false">FALSE()</f>
        <v>0</v>
      </c>
      <c r="Q85" s="34" t="b">
        <f aca="false">FALSE()</f>
        <v>0</v>
      </c>
      <c r="R85" s="2" t="n">
        <v>10</v>
      </c>
      <c r="S85" s="2" t="s">
        <v>166</v>
      </c>
      <c r="T85" s="2" t="s">
        <v>241</v>
      </c>
      <c r="U85" s="2" t="s">
        <v>173</v>
      </c>
      <c r="V85" s="34" t="b">
        <f aca="false">FALSE()</f>
        <v>0</v>
      </c>
      <c r="W85" s="2" t="s">
        <v>139</v>
      </c>
      <c r="X85" s="2" t="s">
        <v>228</v>
      </c>
      <c r="Y85" s="34" t="b">
        <f aca="false">TRUE()</f>
        <v>1</v>
      </c>
      <c r="Z85" s="2" t="s">
        <v>144</v>
      </c>
      <c r="AA85" s="2" t="s">
        <v>229</v>
      </c>
      <c r="AB85" s="34" t="b">
        <f aca="false">TRUE()</f>
        <v>1</v>
      </c>
      <c r="AC85" s="35" t="n">
        <v>1427</v>
      </c>
      <c r="AD85" s="35" t="n">
        <v>1427</v>
      </c>
      <c r="AE85" s="2" t="s">
        <v>242</v>
      </c>
      <c r="AF85" s="35" t="n">
        <v>356.75</v>
      </c>
      <c r="AG85" s="34" t="b">
        <f aca="false">TRUE()</f>
        <v>1</v>
      </c>
      <c r="AH85" s="2"/>
    </row>
    <row r="86" customFormat="false" ht="15" hidden="false" customHeight="false" outlineLevel="0" collapsed="false">
      <c r="A86" s="2" t="s">
        <v>391</v>
      </c>
      <c r="B86" s="2" t="s">
        <v>266</v>
      </c>
      <c r="C86" s="2" t="n">
        <v>24</v>
      </c>
      <c r="D86" s="2" t="s">
        <v>148</v>
      </c>
      <c r="E86" s="2" t="s">
        <v>154</v>
      </c>
      <c r="F86" s="2" t="s">
        <v>233</v>
      </c>
      <c r="G86" s="2" t="s">
        <v>110</v>
      </c>
      <c r="H86" s="2" t="s">
        <v>355</v>
      </c>
      <c r="I86" s="2" t="s">
        <v>124</v>
      </c>
      <c r="J86" s="2" t="s">
        <v>129</v>
      </c>
      <c r="K86" s="2" t="s">
        <v>260</v>
      </c>
      <c r="L86" s="33" t="n">
        <v>44974</v>
      </c>
      <c r="M86" s="33" t="n">
        <v>44976</v>
      </c>
      <c r="N86" s="2" t="n">
        <v>2</v>
      </c>
      <c r="O86" s="2" t="s">
        <v>180</v>
      </c>
      <c r="P86" s="34" t="b">
        <f aca="false">FALSE()</f>
        <v>0</v>
      </c>
      <c r="Q86" s="34" t="b">
        <f aca="false">FALSE()</f>
        <v>0</v>
      </c>
      <c r="R86" s="2" t="n">
        <v>2</v>
      </c>
      <c r="S86" s="2" t="s">
        <v>158</v>
      </c>
      <c r="T86" s="2" t="s">
        <v>234</v>
      </c>
      <c r="U86" s="2" t="s">
        <v>177</v>
      </c>
      <c r="V86" s="34" t="b">
        <f aca="false">TRUE()</f>
        <v>1</v>
      </c>
      <c r="W86" s="2" t="s">
        <v>137</v>
      </c>
      <c r="X86" s="2" t="s">
        <v>235</v>
      </c>
      <c r="Y86" s="34" t="b">
        <f aca="false">FALSE()</f>
        <v>0</v>
      </c>
      <c r="Z86" s="2" t="s">
        <v>144</v>
      </c>
      <c r="AA86" s="2" t="s">
        <v>229</v>
      </c>
      <c r="AB86" s="34" t="b">
        <f aca="false">TRUE()</f>
        <v>1</v>
      </c>
      <c r="AC86" s="35" t="n">
        <v>1570</v>
      </c>
      <c r="AD86" s="35" t="n">
        <v>1570</v>
      </c>
      <c r="AE86" s="2" t="s">
        <v>242</v>
      </c>
      <c r="AF86" s="35" t="n">
        <v>785</v>
      </c>
      <c r="AG86" s="34" t="b">
        <f aca="false">FALSE()</f>
        <v>0</v>
      </c>
      <c r="AH86" s="2"/>
    </row>
    <row r="87" customFormat="false" ht="15" hidden="false" customHeight="false" outlineLevel="0" collapsed="false">
      <c r="A87" s="2" t="s">
        <v>392</v>
      </c>
      <c r="B87" s="2" t="s">
        <v>238</v>
      </c>
      <c r="C87" s="2" t="n">
        <v>33</v>
      </c>
      <c r="D87" s="2" t="s">
        <v>148</v>
      </c>
      <c r="E87" s="2" t="s">
        <v>154</v>
      </c>
      <c r="F87" s="2" t="s">
        <v>233</v>
      </c>
      <c r="G87" s="2" t="s">
        <v>110</v>
      </c>
      <c r="H87" s="2" t="s">
        <v>355</v>
      </c>
      <c r="I87" s="2" t="s">
        <v>124</v>
      </c>
      <c r="J87" s="2" t="s">
        <v>128</v>
      </c>
      <c r="K87" s="2" t="s">
        <v>226</v>
      </c>
      <c r="L87" s="33" t="n">
        <v>44985</v>
      </c>
      <c r="M87" s="33" t="n">
        <v>44989</v>
      </c>
      <c r="N87" s="2" t="n">
        <v>4</v>
      </c>
      <c r="O87" s="2" t="s">
        <v>181</v>
      </c>
      <c r="P87" s="34" t="b">
        <f aca="false">FALSE()</f>
        <v>0</v>
      </c>
      <c r="Q87" s="34" t="b">
        <f aca="false">FALSE()</f>
        <v>0</v>
      </c>
      <c r="R87" s="2" t="n">
        <v>2</v>
      </c>
      <c r="S87" s="2" t="s">
        <v>158</v>
      </c>
      <c r="T87" s="2" t="s">
        <v>234</v>
      </c>
      <c r="U87" s="2" t="s">
        <v>174</v>
      </c>
      <c r="V87" s="34" t="b">
        <f aca="false">FALSE()</f>
        <v>0</v>
      </c>
      <c r="W87" s="2" t="s">
        <v>138</v>
      </c>
      <c r="X87" s="2" t="s">
        <v>250</v>
      </c>
      <c r="Y87" s="34" t="b">
        <f aca="false">FALSE()</f>
        <v>0</v>
      </c>
      <c r="Z87" s="2" t="s">
        <v>144</v>
      </c>
      <c r="AA87" s="2" t="s">
        <v>229</v>
      </c>
      <c r="AB87" s="34" t="b">
        <f aca="false">TRUE()</f>
        <v>1</v>
      </c>
      <c r="AC87" s="35"/>
      <c r="AD87" s="35" t="n">
        <v>999</v>
      </c>
      <c r="AE87" s="2" t="s">
        <v>257</v>
      </c>
      <c r="AF87" s="35"/>
      <c r="AG87" s="34" t="b">
        <f aca="false">FALSE()</f>
        <v>0</v>
      </c>
      <c r="AH87" s="2"/>
    </row>
    <row r="88" customFormat="false" ht="15" hidden="false" customHeight="false" outlineLevel="0" collapsed="false">
      <c r="A88" s="2" t="s">
        <v>393</v>
      </c>
      <c r="B88" s="2" t="s">
        <v>310</v>
      </c>
      <c r="C88" s="2" t="n">
        <v>46</v>
      </c>
      <c r="D88" s="2" t="s">
        <v>149</v>
      </c>
      <c r="E88" s="2" t="s">
        <v>153</v>
      </c>
      <c r="F88" s="2" t="s">
        <v>224</v>
      </c>
      <c r="G88" s="2" t="s">
        <v>115</v>
      </c>
      <c r="H88" s="2" t="s">
        <v>225</v>
      </c>
      <c r="I88" s="2" t="s">
        <v>122</v>
      </c>
      <c r="J88" s="2" t="s">
        <v>129</v>
      </c>
      <c r="K88" s="2" t="s">
        <v>260</v>
      </c>
      <c r="L88" s="33" t="n">
        <v>45057</v>
      </c>
      <c r="M88" s="33" t="n">
        <v>45068</v>
      </c>
      <c r="N88" s="2" t="n">
        <v>11</v>
      </c>
      <c r="O88" s="2" t="s">
        <v>182</v>
      </c>
      <c r="P88" s="34" t="b">
        <f aca="false">TRUE()</f>
        <v>1</v>
      </c>
      <c r="Q88" s="34" t="b">
        <f aca="false">FALSE()</f>
        <v>0</v>
      </c>
      <c r="R88" s="2" t="n">
        <v>5</v>
      </c>
      <c r="S88" s="2" t="s">
        <v>161</v>
      </c>
      <c r="T88" s="2" t="s">
        <v>246</v>
      </c>
      <c r="U88" s="2" t="s">
        <v>176</v>
      </c>
      <c r="V88" s="34" t="b">
        <f aca="false">FALSE()</f>
        <v>0</v>
      </c>
      <c r="W88" s="2" t="s">
        <v>137</v>
      </c>
      <c r="X88" s="2" t="s">
        <v>235</v>
      </c>
      <c r="Y88" s="34" t="b">
        <f aca="false">FALSE()</f>
        <v>0</v>
      </c>
      <c r="Z88" s="2" t="s">
        <v>143</v>
      </c>
      <c r="AA88" s="2" t="s">
        <v>236</v>
      </c>
      <c r="AB88" s="34" t="b">
        <f aca="false">FALSE()</f>
        <v>0</v>
      </c>
      <c r="AC88" s="35"/>
      <c r="AD88" s="35" t="n">
        <v>3852</v>
      </c>
      <c r="AE88" s="2" t="s">
        <v>230</v>
      </c>
      <c r="AF88" s="35"/>
      <c r="AG88" s="34" t="b">
        <f aca="false">FALSE()</f>
        <v>0</v>
      </c>
      <c r="AH88" s="2"/>
    </row>
    <row r="89" customFormat="false" ht="15" hidden="false" customHeight="false" outlineLevel="0" collapsed="false">
      <c r="A89" s="2" t="s">
        <v>394</v>
      </c>
      <c r="B89" s="2" t="s">
        <v>317</v>
      </c>
      <c r="C89" s="2" t="n">
        <v>12</v>
      </c>
      <c r="D89" s="2" t="s">
        <v>147</v>
      </c>
      <c r="E89" s="2" t="s">
        <v>153</v>
      </c>
      <c r="F89" s="2" t="s">
        <v>224</v>
      </c>
      <c r="G89" s="2" t="s">
        <v>115</v>
      </c>
      <c r="H89" s="2" t="s">
        <v>225</v>
      </c>
      <c r="I89" s="2" t="s">
        <v>122</v>
      </c>
      <c r="J89" s="2" t="s">
        <v>130</v>
      </c>
      <c r="K89" s="2" t="s">
        <v>245</v>
      </c>
      <c r="L89" s="33" t="n">
        <v>45218</v>
      </c>
      <c r="M89" s="33" t="n">
        <v>45219</v>
      </c>
      <c r="N89" s="2" t="n">
        <v>1</v>
      </c>
      <c r="O89" s="2" t="s">
        <v>180</v>
      </c>
      <c r="P89" s="34" t="b">
        <f aca="false">FALSE()</f>
        <v>0</v>
      </c>
      <c r="Q89" s="34" t="b">
        <f aca="false">FALSE()</f>
        <v>0</v>
      </c>
      <c r="R89" s="2" t="n">
        <v>10</v>
      </c>
      <c r="S89" s="2" t="s">
        <v>166</v>
      </c>
      <c r="T89" s="2" t="s">
        <v>241</v>
      </c>
      <c r="U89" s="2" t="s">
        <v>176</v>
      </c>
      <c r="V89" s="34" t="b">
        <f aca="false">FALSE()</f>
        <v>0</v>
      </c>
      <c r="W89" s="2" t="s">
        <v>137</v>
      </c>
      <c r="X89" s="2" t="s">
        <v>235</v>
      </c>
      <c r="Y89" s="34" t="b">
        <f aca="false">FALSE()</f>
        <v>0</v>
      </c>
      <c r="Z89" s="2" t="s">
        <v>142</v>
      </c>
      <c r="AA89" s="2" t="s">
        <v>256</v>
      </c>
      <c r="AB89" s="34" t="b">
        <f aca="false">FALSE()</f>
        <v>0</v>
      </c>
      <c r="AC89" s="35"/>
      <c r="AD89" s="35" t="n">
        <v>3852</v>
      </c>
      <c r="AE89" s="2" t="s">
        <v>230</v>
      </c>
      <c r="AF89" s="35"/>
      <c r="AG89" s="34" t="b">
        <f aca="false">TRUE()</f>
        <v>1</v>
      </c>
      <c r="AH89" s="2"/>
    </row>
    <row r="90" customFormat="false" ht="15" hidden="false" customHeight="false" outlineLevel="0" collapsed="false">
      <c r="A90" s="2" t="s">
        <v>395</v>
      </c>
      <c r="B90" s="2" t="s">
        <v>384</v>
      </c>
      <c r="C90" s="2" t="n">
        <v>44</v>
      </c>
      <c r="D90" s="2" t="s">
        <v>149</v>
      </c>
      <c r="E90" s="2" t="s">
        <v>153</v>
      </c>
      <c r="F90" s="2" t="s">
        <v>224</v>
      </c>
      <c r="G90" s="2" t="s">
        <v>111</v>
      </c>
      <c r="H90" s="2" t="s">
        <v>275</v>
      </c>
      <c r="I90" s="2" t="s">
        <v>122</v>
      </c>
      <c r="J90" s="2" t="s">
        <v>131</v>
      </c>
      <c r="K90" s="2" t="s">
        <v>263</v>
      </c>
      <c r="L90" s="33" t="n">
        <v>45248</v>
      </c>
      <c r="M90" s="33" t="n">
        <v>45252</v>
      </c>
      <c r="N90" s="2" t="n">
        <v>4</v>
      </c>
      <c r="O90" s="2" t="s">
        <v>181</v>
      </c>
      <c r="P90" s="34" t="b">
        <f aca="false">FALSE()</f>
        <v>0</v>
      </c>
      <c r="Q90" s="34" t="b">
        <f aca="false">FALSE()</f>
        <v>0</v>
      </c>
      <c r="R90" s="2" t="n">
        <v>11</v>
      </c>
      <c r="S90" s="2" t="s">
        <v>167</v>
      </c>
      <c r="T90" s="2" t="s">
        <v>241</v>
      </c>
      <c r="U90" s="2" t="s">
        <v>171</v>
      </c>
      <c r="V90" s="34" t="b">
        <f aca="false">TRUE()</f>
        <v>1</v>
      </c>
      <c r="W90" s="2" t="s">
        <v>137</v>
      </c>
      <c r="X90" s="2" t="s">
        <v>235</v>
      </c>
      <c r="Y90" s="34" t="b">
        <f aca="false">FALSE()</f>
        <v>0</v>
      </c>
      <c r="Z90" s="2" t="s">
        <v>143</v>
      </c>
      <c r="AA90" s="2" t="s">
        <v>236</v>
      </c>
      <c r="AB90" s="34" t="b">
        <f aca="false">FALSE()</f>
        <v>0</v>
      </c>
      <c r="AC90" s="35"/>
      <c r="AD90" s="35" t="n">
        <v>3852</v>
      </c>
      <c r="AE90" s="2" t="s">
        <v>230</v>
      </c>
      <c r="AF90" s="35"/>
      <c r="AG90" s="34" t="b">
        <f aca="false">FALSE()</f>
        <v>0</v>
      </c>
      <c r="AH90" s="2"/>
    </row>
    <row r="91" customFormat="false" ht="15" hidden="false" customHeight="false" outlineLevel="0" collapsed="false">
      <c r="A91" s="2" t="s">
        <v>396</v>
      </c>
      <c r="B91" s="2" t="s">
        <v>343</v>
      </c>
      <c r="C91" s="2" t="n">
        <v>71</v>
      </c>
      <c r="D91" s="2" t="s">
        <v>150</v>
      </c>
      <c r="E91" s="2" t="s">
        <v>154</v>
      </c>
      <c r="F91" s="2" t="s">
        <v>233</v>
      </c>
      <c r="G91" s="2" t="s">
        <v>111</v>
      </c>
      <c r="H91" s="2" t="s">
        <v>275</v>
      </c>
      <c r="I91" s="2" t="s">
        <v>122</v>
      </c>
      <c r="J91" s="2" t="s">
        <v>131</v>
      </c>
      <c r="K91" s="2" t="s">
        <v>263</v>
      </c>
      <c r="L91" s="33" t="n">
        <v>45111</v>
      </c>
      <c r="M91" s="33" t="n">
        <v>45115</v>
      </c>
      <c r="N91" s="2" t="n">
        <v>4</v>
      </c>
      <c r="O91" s="2" t="s">
        <v>181</v>
      </c>
      <c r="P91" s="34" t="b">
        <f aca="false">FALSE()</f>
        <v>0</v>
      </c>
      <c r="Q91" s="34" t="b">
        <f aca="false">FALSE()</f>
        <v>0</v>
      </c>
      <c r="R91" s="2" t="n">
        <v>7</v>
      </c>
      <c r="S91" s="2" t="s">
        <v>163</v>
      </c>
      <c r="T91" s="2" t="s">
        <v>227</v>
      </c>
      <c r="U91" s="2" t="s">
        <v>174</v>
      </c>
      <c r="V91" s="34" t="b">
        <f aca="false">FALSE()</f>
        <v>0</v>
      </c>
      <c r="W91" s="2" t="s">
        <v>137</v>
      </c>
      <c r="X91" s="2" t="s">
        <v>235</v>
      </c>
      <c r="Y91" s="34" t="b">
        <f aca="false">FALSE()</f>
        <v>0</v>
      </c>
      <c r="Z91" s="2" t="s">
        <v>144</v>
      </c>
      <c r="AA91" s="2" t="s">
        <v>229</v>
      </c>
      <c r="AB91" s="34" t="b">
        <f aca="false">TRUE()</f>
        <v>1</v>
      </c>
      <c r="AC91" s="35"/>
      <c r="AD91" s="35" t="n">
        <v>3852</v>
      </c>
      <c r="AE91" s="2" t="s">
        <v>230</v>
      </c>
      <c r="AF91" s="35"/>
      <c r="AG91" s="34" t="b">
        <f aca="false">FALSE()</f>
        <v>0</v>
      </c>
      <c r="AH91" s="2"/>
    </row>
    <row r="92" customFormat="false" ht="15" hidden="false" customHeight="false" outlineLevel="0" collapsed="false">
      <c r="A92" s="2" t="s">
        <v>397</v>
      </c>
      <c r="B92" s="2" t="s">
        <v>398</v>
      </c>
      <c r="C92" s="2" t="n">
        <v>84</v>
      </c>
      <c r="D92" s="2" t="s">
        <v>150</v>
      </c>
      <c r="E92" s="2" t="s">
        <v>154</v>
      </c>
      <c r="F92" s="2" t="s">
        <v>233</v>
      </c>
      <c r="G92" s="2" t="s">
        <v>111</v>
      </c>
      <c r="H92" s="2" t="s">
        <v>275</v>
      </c>
      <c r="I92" s="2" t="s">
        <v>122</v>
      </c>
      <c r="J92" s="2" t="s">
        <v>129</v>
      </c>
      <c r="K92" s="2" t="s">
        <v>260</v>
      </c>
      <c r="L92" s="33" t="n">
        <v>45146</v>
      </c>
      <c r="M92" s="33" t="n">
        <v>45161</v>
      </c>
      <c r="N92" s="2" t="n">
        <v>15</v>
      </c>
      <c r="O92" s="2" t="s">
        <v>183</v>
      </c>
      <c r="P92" s="34" t="b">
        <f aca="false">TRUE()</f>
        <v>1</v>
      </c>
      <c r="Q92" s="34" t="b">
        <f aca="false">FALSE()</f>
        <v>0</v>
      </c>
      <c r="R92" s="2" t="n">
        <v>8</v>
      </c>
      <c r="S92" s="2" t="s">
        <v>164</v>
      </c>
      <c r="T92" s="2" t="s">
        <v>227</v>
      </c>
      <c r="U92" s="2" t="s">
        <v>174</v>
      </c>
      <c r="V92" s="34" t="b">
        <f aca="false">FALSE()</f>
        <v>0</v>
      </c>
      <c r="W92" s="2" t="s">
        <v>139</v>
      </c>
      <c r="X92" s="2" t="s">
        <v>228</v>
      </c>
      <c r="Y92" s="34" t="b">
        <f aca="false">TRUE()</f>
        <v>1</v>
      </c>
      <c r="Z92" s="2" t="s">
        <v>143</v>
      </c>
      <c r="AA92" s="2" t="s">
        <v>236</v>
      </c>
      <c r="AB92" s="34" t="b">
        <f aca="false">FALSE()</f>
        <v>0</v>
      </c>
      <c r="AC92" s="35"/>
      <c r="AD92" s="35" t="n">
        <v>999</v>
      </c>
      <c r="AE92" s="2" t="s">
        <v>257</v>
      </c>
      <c r="AF92" s="35"/>
      <c r="AG92" s="34" t="b">
        <f aca="false">FALSE()</f>
        <v>0</v>
      </c>
      <c r="AH92" s="2" t="s">
        <v>283</v>
      </c>
    </row>
    <row r="93" customFormat="false" ht="15" hidden="false" customHeight="false" outlineLevel="0" collapsed="false">
      <c r="A93" s="2" t="s">
        <v>399</v>
      </c>
      <c r="B93" s="2" t="s">
        <v>270</v>
      </c>
      <c r="C93" s="2" t="n">
        <v>37</v>
      </c>
      <c r="D93" s="2" t="s">
        <v>148</v>
      </c>
      <c r="E93" s="2" t="s">
        <v>153</v>
      </c>
      <c r="F93" s="2" t="s">
        <v>224</v>
      </c>
      <c r="G93" s="2" t="s">
        <v>111</v>
      </c>
      <c r="H93" s="2" t="s">
        <v>275</v>
      </c>
      <c r="I93" s="2" t="s">
        <v>122</v>
      </c>
      <c r="J93" s="2" t="s">
        <v>128</v>
      </c>
      <c r="K93" s="2" t="s">
        <v>226</v>
      </c>
      <c r="L93" s="33" t="n">
        <v>45275</v>
      </c>
      <c r="M93" s="33" t="n">
        <v>45289</v>
      </c>
      <c r="N93" s="2" t="n">
        <v>14</v>
      </c>
      <c r="O93" s="2" t="s">
        <v>182</v>
      </c>
      <c r="P93" s="34" t="b">
        <f aca="false">TRUE()</f>
        <v>1</v>
      </c>
      <c r="Q93" s="34" t="b">
        <f aca="false">FALSE()</f>
        <v>0</v>
      </c>
      <c r="R93" s="2" t="n">
        <v>12</v>
      </c>
      <c r="S93" s="2" t="s">
        <v>168</v>
      </c>
      <c r="T93" s="2" t="s">
        <v>241</v>
      </c>
      <c r="U93" s="2" t="s">
        <v>177</v>
      </c>
      <c r="V93" s="34" t="b">
        <f aca="false">TRUE()</f>
        <v>1</v>
      </c>
      <c r="W93" s="2" t="s">
        <v>138</v>
      </c>
      <c r="X93" s="2" t="s">
        <v>250</v>
      </c>
      <c r="Y93" s="34" t="b">
        <f aca="false">FALSE()</f>
        <v>0</v>
      </c>
      <c r="Z93" s="2" t="s">
        <v>144</v>
      </c>
      <c r="AA93" s="2" t="s">
        <v>229</v>
      </c>
      <c r="AB93" s="34" t="b">
        <f aca="false">TRUE()</f>
        <v>1</v>
      </c>
      <c r="AC93" s="35"/>
      <c r="AD93" s="35" t="n">
        <v>3852</v>
      </c>
      <c r="AE93" s="2" t="s">
        <v>230</v>
      </c>
      <c r="AF93" s="35"/>
      <c r="AG93" s="34" t="b">
        <f aca="false">FALSE()</f>
        <v>0</v>
      </c>
      <c r="AH93" s="2"/>
    </row>
    <row r="94" customFormat="false" ht="15" hidden="false" customHeight="false" outlineLevel="0" collapsed="false">
      <c r="A94" s="2" t="s">
        <v>400</v>
      </c>
      <c r="B94" s="2" t="s">
        <v>291</v>
      </c>
      <c r="C94" s="2" t="n">
        <v>40</v>
      </c>
      <c r="D94" s="2" t="s">
        <v>149</v>
      </c>
      <c r="E94" s="2" t="s">
        <v>153</v>
      </c>
      <c r="F94" s="2" t="s">
        <v>224</v>
      </c>
      <c r="G94" s="2" t="s">
        <v>111</v>
      </c>
      <c r="H94" s="2" t="s">
        <v>275</v>
      </c>
      <c r="I94" s="2" t="s">
        <v>122</v>
      </c>
      <c r="J94" s="2" t="s">
        <v>128</v>
      </c>
      <c r="K94" s="2" t="s">
        <v>226</v>
      </c>
      <c r="L94" s="33" t="n">
        <v>45005</v>
      </c>
      <c r="M94" s="33" t="n">
        <v>45007</v>
      </c>
      <c r="N94" s="2" t="n">
        <v>2</v>
      </c>
      <c r="O94" s="2" t="s">
        <v>180</v>
      </c>
      <c r="P94" s="34" t="b">
        <f aca="false">FALSE()</f>
        <v>0</v>
      </c>
      <c r="Q94" s="34" t="b">
        <f aca="false">FALSE()</f>
        <v>0</v>
      </c>
      <c r="R94" s="2" t="n">
        <v>3</v>
      </c>
      <c r="S94" s="2" t="s">
        <v>159</v>
      </c>
      <c r="T94" s="2" t="s">
        <v>234</v>
      </c>
      <c r="U94" s="2" t="s">
        <v>173</v>
      </c>
      <c r="V94" s="34" t="b">
        <f aca="false">FALSE()</f>
        <v>0</v>
      </c>
      <c r="W94" s="2" t="s">
        <v>139</v>
      </c>
      <c r="X94" s="2" t="s">
        <v>228</v>
      </c>
      <c r="Y94" s="34" t="b">
        <f aca="false">TRUE()</f>
        <v>1</v>
      </c>
      <c r="Z94" s="2" t="s">
        <v>144</v>
      </c>
      <c r="AA94" s="2" t="s">
        <v>229</v>
      </c>
      <c r="AB94" s="34" t="b">
        <f aca="false">TRUE()</f>
        <v>1</v>
      </c>
      <c r="AC94" s="35"/>
      <c r="AD94" s="35" t="n">
        <v>999</v>
      </c>
      <c r="AE94" s="2" t="s">
        <v>257</v>
      </c>
      <c r="AF94" s="35"/>
      <c r="AG94" s="34" t="b">
        <f aca="false">TRUE()</f>
        <v>1</v>
      </c>
      <c r="AH94" s="2"/>
    </row>
    <row r="95" customFormat="false" ht="15" hidden="false" customHeight="false" outlineLevel="0" collapsed="false">
      <c r="A95" s="2" t="s">
        <v>401</v>
      </c>
      <c r="B95" s="2" t="s">
        <v>262</v>
      </c>
      <c r="C95" s="2" t="n">
        <v>56</v>
      </c>
      <c r="D95" s="2" t="s">
        <v>149</v>
      </c>
      <c r="E95" s="2" t="s">
        <v>154</v>
      </c>
      <c r="F95" s="2" t="s">
        <v>233</v>
      </c>
      <c r="G95" s="2" t="s">
        <v>111</v>
      </c>
      <c r="H95" s="2" t="s">
        <v>275</v>
      </c>
      <c r="I95" s="2" t="s">
        <v>122</v>
      </c>
      <c r="J95" s="2" t="s">
        <v>130</v>
      </c>
      <c r="K95" s="2" t="s">
        <v>245</v>
      </c>
      <c r="L95" s="33" t="n">
        <v>45019</v>
      </c>
      <c r="M95" s="33" t="n">
        <v>45033</v>
      </c>
      <c r="N95" s="2" t="n">
        <v>14</v>
      </c>
      <c r="O95" s="2" t="s">
        <v>182</v>
      </c>
      <c r="P95" s="34" t="b">
        <f aca="false">TRUE()</f>
        <v>1</v>
      </c>
      <c r="Q95" s="34" t="b">
        <f aca="false">FALSE()</f>
        <v>0</v>
      </c>
      <c r="R95" s="2" t="n">
        <v>4</v>
      </c>
      <c r="S95" s="2" t="s">
        <v>160</v>
      </c>
      <c r="T95" s="2" t="s">
        <v>246</v>
      </c>
      <c r="U95" s="2" t="s">
        <v>173</v>
      </c>
      <c r="V95" s="34" t="b">
        <f aca="false">FALSE()</f>
        <v>0</v>
      </c>
      <c r="W95" s="2" t="s">
        <v>138</v>
      </c>
      <c r="X95" s="2" t="s">
        <v>250</v>
      </c>
      <c r="Y95" s="34" t="b">
        <f aca="false">FALSE()</f>
        <v>0</v>
      </c>
      <c r="Z95" s="2" t="s">
        <v>144</v>
      </c>
      <c r="AA95" s="2" t="s">
        <v>229</v>
      </c>
      <c r="AB95" s="34" t="b">
        <f aca="false">TRUE()</f>
        <v>1</v>
      </c>
      <c r="AC95" s="35"/>
      <c r="AD95" s="35" t="n">
        <v>999</v>
      </c>
      <c r="AE95" s="2" t="s">
        <v>257</v>
      </c>
      <c r="AF95" s="35"/>
      <c r="AG95" s="34" t="b">
        <f aca="false">FALSE()</f>
        <v>0</v>
      </c>
      <c r="AH95" s="2"/>
    </row>
    <row r="96" customFormat="false" ht="15" hidden="false" customHeight="false" outlineLevel="0" collapsed="false">
      <c r="A96" s="2" t="s">
        <v>402</v>
      </c>
      <c r="B96" s="2" t="s">
        <v>321</v>
      </c>
      <c r="C96" s="2" t="n">
        <v>81</v>
      </c>
      <c r="D96" s="2" t="s">
        <v>150</v>
      </c>
      <c r="E96" s="2" t="s">
        <v>154</v>
      </c>
      <c r="F96" s="2" t="s">
        <v>233</v>
      </c>
      <c r="G96" s="2" t="s">
        <v>114</v>
      </c>
      <c r="H96" s="2" t="s">
        <v>403</v>
      </c>
      <c r="I96" s="2" t="s">
        <v>122</v>
      </c>
      <c r="J96" s="2" t="s">
        <v>132</v>
      </c>
      <c r="K96" s="2" t="s">
        <v>249</v>
      </c>
      <c r="L96" s="33" t="n">
        <v>45073</v>
      </c>
      <c r="M96" s="33" t="n">
        <v>45077</v>
      </c>
      <c r="N96" s="2" t="n">
        <v>4</v>
      </c>
      <c r="O96" s="2" t="s">
        <v>181</v>
      </c>
      <c r="P96" s="34" t="b">
        <f aca="false">FALSE()</f>
        <v>0</v>
      </c>
      <c r="Q96" s="34" t="b">
        <f aca="false">FALSE()</f>
        <v>0</v>
      </c>
      <c r="R96" s="2" t="n">
        <v>5</v>
      </c>
      <c r="S96" s="2" t="s">
        <v>161</v>
      </c>
      <c r="T96" s="2" t="s">
        <v>246</v>
      </c>
      <c r="U96" s="2" t="s">
        <v>171</v>
      </c>
      <c r="V96" s="34" t="b">
        <f aca="false">TRUE()</f>
        <v>1</v>
      </c>
      <c r="W96" s="2" t="s">
        <v>137</v>
      </c>
      <c r="X96" s="2" t="s">
        <v>235</v>
      </c>
      <c r="Y96" s="34" t="b">
        <f aca="false">FALSE()</f>
        <v>0</v>
      </c>
      <c r="Z96" s="2" t="s">
        <v>143</v>
      </c>
      <c r="AA96" s="2" t="s">
        <v>236</v>
      </c>
      <c r="AB96" s="34" t="b">
        <f aca="false">FALSE()</f>
        <v>0</v>
      </c>
      <c r="AC96" s="35" t="n">
        <v>5422</v>
      </c>
      <c r="AD96" s="35" t="n">
        <v>5422</v>
      </c>
      <c r="AE96" s="2" t="s">
        <v>242</v>
      </c>
      <c r="AF96" s="35" t="n">
        <v>1355.5</v>
      </c>
      <c r="AG96" s="34" t="b">
        <f aca="false">FALSE()</f>
        <v>0</v>
      </c>
      <c r="AH96" s="2"/>
    </row>
    <row r="97" customFormat="false" ht="15" hidden="false" customHeight="false" outlineLevel="0" collapsed="false">
      <c r="A97" s="2" t="s">
        <v>404</v>
      </c>
      <c r="B97" s="2" t="s">
        <v>319</v>
      </c>
      <c r="C97" s="2" t="n">
        <v>23</v>
      </c>
      <c r="D97" s="2" t="s">
        <v>148</v>
      </c>
      <c r="E97" s="2" t="s">
        <v>154</v>
      </c>
      <c r="F97" s="2" t="s">
        <v>233</v>
      </c>
      <c r="G97" s="2" t="s">
        <v>114</v>
      </c>
      <c r="H97" s="2" t="s">
        <v>403</v>
      </c>
      <c r="I97" s="2" t="s">
        <v>122</v>
      </c>
      <c r="J97" s="2" t="s">
        <v>131</v>
      </c>
      <c r="K97" s="2" t="s">
        <v>263</v>
      </c>
      <c r="L97" s="33" t="n">
        <v>45061</v>
      </c>
      <c r="M97" s="33" t="n">
        <v>45063</v>
      </c>
      <c r="N97" s="2" t="n">
        <v>2</v>
      </c>
      <c r="O97" s="2" t="s">
        <v>180</v>
      </c>
      <c r="P97" s="34" t="b">
        <f aca="false">FALSE()</f>
        <v>0</v>
      </c>
      <c r="Q97" s="34" t="b">
        <f aca="false">FALSE()</f>
        <v>0</v>
      </c>
      <c r="R97" s="2" t="n">
        <v>5</v>
      </c>
      <c r="S97" s="2" t="s">
        <v>161</v>
      </c>
      <c r="T97" s="2" t="s">
        <v>246</v>
      </c>
      <c r="U97" s="2" t="s">
        <v>173</v>
      </c>
      <c r="V97" s="34" t="b">
        <f aca="false">FALSE()</f>
        <v>0</v>
      </c>
      <c r="W97" s="2" t="s">
        <v>137</v>
      </c>
      <c r="X97" s="2" t="s">
        <v>235</v>
      </c>
      <c r="Y97" s="34" t="b">
        <f aca="false">FALSE()</f>
        <v>0</v>
      </c>
      <c r="Z97" s="2" t="s">
        <v>142</v>
      </c>
      <c r="AA97" s="2" t="s">
        <v>256</v>
      </c>
      <c r="AB97" s="34" t="b">
        <f aca="false">FALSE()</f>
        <v>0</v>
      </c>
      <c r="AC97" s="35"/>
      <c r="AD97" s="35" t="n">
        <v>999</v>
      </c>
      <c r="AE97" s="2" t="s">
        <v>257</v>
      </c>
      <c r="AF97" s="35"/>
      <c r="AG97" s="34" t="b">
        <f aca="false">TRUE()</f>
        <v>1</v>
      </c>
      <c r="AH97" s="2"/>
    </row>
    <row r="98" customFormat="false" ht="15" hidden="false" customHeight="false" outlineLevel="0" collapsed="false">
      <c r="A98" s="2" t="s">
        <v>405</v>
      </c>
      <c r="B98" s="2" t="s">
        <v>277</v>
      </c>
      <c r="C98" s="2" t="n">
        <v>78</v>
      </c>
      <c r="D98" s="2" t="s">
        <v>150</v>
      </c>
      <c r="E98" s="2" t="s">
        <v>154</v>
      </c>
      <c r="F98" s="2" t="s">
        <v>233</v>
      </c>
      <c r="G98" s="2" t="s">
        <v>114</v>
      </c>
      <c r="H98" s="2" t="s">
        <v>403</v>
      </c>
      <c r="I98" s="2" t="s">
        <v>122</v>
      </c>
      <c r="J98" s="2" t="s">
        <v>134</v>
      </c>
      <c r="K98" s="2" t="s">
        <v>240</v>
      </c>
      <c r="L98" s="33" t="n">
        <v>45258</v>
      </c>
      <c r="M98" s="33" t="n">
        <v>45272</v>
      </c>
      <c r="N98" s="2" t="n">
        <v>14</v>
      </c>
      <c r="O98" s="2" t="s">
        <v>182</v>
      </c>
      <c r="P98" s="34" t="b">
        <f aca="false">TRUE()</f>
        <v>1</v>
      </c>
      <c r="Q98" s="34" t="b">
        <f aca="false">FALSE()</f>
        <v>0</v>
      </c>
      <c r="R98" s="2" t="n">
        <v>11</v>
      </c>
      <c r="S98" s="2" t="s">
        <v>167</v>
      </c>
      <c r="T98" s="2" t="s">
        <v>241</v>
      </c>
      <c r="U98" s="2" t="s">
        <v>174</v>
      </c>
      <c r="V98" s="34" t="b">
        <f aca="false">FALSE()</f>
        <v>0</v>
      </c>
      <c r="W98" s="2" t="s">
        <v>138</v>
      </c>
      <c r="X98" s="2" t="s">
        <v>250</v>
      </c>
      <c r="Y98" s="34" t="b">
        <f aca="false">FALSE()</f>
        <v>0</v>
      </c>
      <c r="Z98" s="2" t="s">
        <v>143</v>
      </c>
      <c r="AA98" s="2" t="s">
        <v>236</v>
      </c>
      <c r="AB98" s="34" t="b">
        <f aca="false">FALSE()</f>
        <v>0</v>
      </c>
      <c r="AC98" s="35"/>
      <c r="AD98" s="35" t="n">
        <v>999</v>
      </c>
      <c r="AE98" s="2" t="s">
        <v>257</v>
      </c>
      <c r="AF98" s="35"/>
      <c r="AG98" s="34" t="b">
        <f aca="false">FALSE()</f>
        <v>0</v>
      </c>
      <c r="AH98" s="2"/>
    </row>
    <row r="99" customFormat="false" ht="15" hidden="false" customHeight="false" outlineLevel="0" collapsed="false">
      <c r="A99" s="2" t="s">
        <v>406</v>
      </c>
      <c r="B99" s="2" t="s">
        <v>293</v>
      </c>
      <c r="C99" s="2" t="n">
        <v>65</v>
      </c>
      <c r="D99" s="2" t="s">
        <v>150</v>
      </c>
      <c r="E99" s="2" t="s">
        <v>154</v>
      </c>
      <c r="F99" s="2" t="s">
        <v>233</v>
      </c>
      <c r="G99" s="2" t="s">
        <v>114</v>
      </c>
      <c r="H99" s="2" t="s">
        <v>403</v>
      </c>
      <c r="I99" s="2" t="s">
        <v>122</v>
      </c>
      <c r="J99" s="2" t="s">
        <v>129</v>
      </c>
      <c r="K99" s="2" t="s">
        <v>260</v>
      </c>
      <c r="L99" s="33" t="n">
        <v>44943</v>
      </c>
      <c r="M99" s="33" t="n">
        <v>44945</v>
      </c>
      <c r="N99" s="2" t="n">
        <v>2</v>
      </c>
      <c r="O99" s="2" t="s">
        <v>180</v>
      </c>
      <c r="P99" s="34" t="b">
        <f aca="false">FALSE()</f>
        <v>0</v>
      </c>
      <c r="Q99" s="34" t="b">
        <f aca="false">FALSE()</f>
        <v>0</v>
      </c>
      <c r="R99" s="2" t="n">
        <v>1</v>
      </c>
      <c r="S99" s="2" t="s">
        <v>157</v>
      </c>
      <c r="T99" s="2" t="s">
        <v>234</v>
      </c>
      <c r="U99" s="2" t="s">
        <v>174</v>
      </c>
      <c r="V99" s="34" t="b">
        <f aca="false">FALSE()</f>
        <v>0</v>
      </c>
      <c r="W99" s="2" t="s">
        <v>139</v>
      </c>
      <c r="X99" s="2" t="s">
        <v>228</v>
      </c>
      <c r="Y99" s="34" t="b">
        <f aca="false">TRUE()</f>
        <v>1</v>
      </c>
      <c r="Z99" s="2" t="s">
        <v>142</v>
      </c>
      <c r="AA99" s="2" t="s">
        <v>256</v>
      </c>
      <c r="AB99" s="34" t="b">
        <f aca="false">FALSE()</f>
        <v>0</v>
      </c>
      <c r="AC99" s="35"/>
      <c r="AD99" s="35" t="n">
        <v>999</v>
      </c>
      <c r="AE99" s="2" t="s">
        <v>257</v>
      </c>
      <c r="AF99" s="35"/>
      <c r="AG99" s="34" t="b">
        <f aca="false">FALSE()</f>
        <v>0</v>
      </c>
      <c r="AH99" s="2"/>
    </row>
    <row r="100" customFormat="false" ht="15" hidden="false" customHeight="false" outlineLevel="0" collapsed="false">
      <c r="A100" s="2" t="s">
        <v>407</v>
      </c>
      <c r="B100" s="2" t="s">
        <v>277</v>
      </c>
      <c r="C100" s="2" t="n">
        <v>9</v>
      </c>
      <c r="D100" s="2" t="s">
        <v>147</v>
      </c>
      <c r="E100" s="2" t="s">
        <v>153</v>
      </c>
      <c r="F100" s="2" t="s">
        <v>224</v>
      </c>
      <c r="G100" s="2" t="s">
        <v>118</v>
      </c>
      <c r="H100" s="2" t="s">
        <v>408</v>
      </c>
      <c r="I100" s="2" t="s">
        <v>123</v>
      </c>
      <c r="J100" s="2" t="s">
        <v>128</v>
      </c>
      <c r="K100" s="2" t="s">
        <v>226</v>
      </c>
      <c r="L100" s="33" t="n">
        <v>45119</v>
      </c>
      <c r="M100" s="33" t="n">
        <v>45124</v>
      </c>
      <c r="N100" s="2" t="n">
        <v>5</v>
      </c>
      <c r="O100" s="2" t="s">
        <v>181</v>
      </c>
      <c r="P100" s="34" t="b">
        <f aca="false">FALSE()</f>
        <v>0</v>
      </c>
      <c r="Q100" s="34" t="b">
        <f aca="false">FALSE()</f>
        <v>0</v>
      </c>
      <c r="R100" s="2" t="n">
        <v>7</v>
      </c>
      <c r="S100" s="2" t="s">
        <v>163</v>
      </c>
      <c r="T100" s="2" t="s">
        <v>227</v>
      </c>
      <c r="U100" s="2" t="s">
        <v>175</v>
      </c>
      <c r="V100" s="34" t="b">
        <f aca="false">FALSE()</f>
        <v>0</v>
      </c>
      <c r="W100" s="2" t="s">
        <v>137</v>
      </c>
      <c r="X100" s="2" t="s">
        <v>235</v>
      </c>
      <c r="Y100" s="34" t="b">
        <f aca="false">FALSE()</f>
        <v>0</v>
      </c>
      <c r="Z100" s="2" t="s">
        <v>144</v>
      </c>
      <c r="AA100" s="2" t="s">
        <v>229</v>
      </c>
      <c r="AB100" s="34" t="b">
        <f aca="false">TRUE()</f>
        <v>1</v>
      </c>
      <c r="AC100" s="35"/>
      <c r="AD100" s="35" t="n">
        <v>3852</v>
      </c>
      <c r="AE100" s="2" t="s">
        <v>230</v>
      </c>
      <c r="AF100" s="35"/>
      <c r="AG100" s="34" t="b">
        <f aca="false">FALSE()</f>
        <v>0</v>
      </c>
      <c r="AH100" s="2"/>
    </row>
    <row r="101" customFormat="false" ht="15" hidden="false" customHeight="false" outlineLevel="0" collapsed="false">
      <c r="A101" s="2" t="s">
        <v>409</v>
      </c>
      <c r="B101" s="2" t="s">
        <v>289</v>
      </c>
      <c r="C101" s="2" t="n">
        <v>61</v>
      </c>
      <c r="D101" s="2" t="s">
        <v>150</v>
      </c>
      <c r="E101" s="2" t="s">
        <v>153</v>
      </c>
      <c r="F101" s="2" t="s">
        <v>224</v>
      </c>
      <c r="G101" s="2" t="s">
        <v>117</v>
      </c>
      <c r="H101" s="2" t="s">
        <v>410</v>
      </c>
      <c r="I101" s="2" t="s">
        <v>125</v>
      </c>
      <c r="J101" s="2" t="s">
        <v>128</v>
      </c>
      <c r="K101" s="2" t="s">
        <v>226</v>
      </c>
      <c r="L101" s="33" t="n">
        <v>45207</v>
      </c>
      <c r="M101" s="33" t="n">
        <v>45224</v>
      </c>
      <c r="N101" s="2" t="n">
        <v>17</v>
      </c>
      <c r="O101" s="2" t="s">
        <v>183</v>
      </c>
      <c r="P101" s="34" t="b">
        <f aca="false">TRUE()</f>
        <v>1</v>
      </c>
      <c r="Q101" s="34" t="b">
        <f aca="false">FALSE()</f>
        <v>0</v>
      </c>
      <c r="R101" s="2" t="n">
        <v>10</v>
      </c>
      <c r="S101" s="2" t="s">
        <v>166</v>
      </c>
      <c r="T101" s="2" t="s">
        <v>241</v>
      </c>
      <c r="U101" s="2" t="s">
        <v>172</v>
      </c>
      <c r="V101" s="34" t="b">
        <f aca="false">FALSE()</f>
        <v>0</v>
      </c>
      <c r="W101" s="2" t="s">
        <v>139</v>
      </c>
      <c r="X101" s="2" t="s">
        <v>228</v>
      </c>
      <c r="Y101" s="34" t="b">
        <f aca="false">TRUE()</f>
        <v>1</v>
      </c>
      <c r="Z101" s="2" t="s">
        <v>143</v>
      </c>
      <c r="AA101" s="2" t="s">
        <v>236</v>
      </c>
      <c r="AB101" s="34" t="b">
        <f aca="false">FALSE()</f>
        <v>0</v>
      </c>
      <c r="AC101" s="35"/>
      <c r="AD101" s="35" t="n">
        <v>999</v>
      </c>
      <c r="AE101" s="2" t="s">
        <v>257</v>
      </c>
      <c r="AF101" s="35"/>
      <c r="AG101" s="34" t="b">
        <f aca="false">FALSE()</f>
        <v>0</v>
      </c>
      <c r="AH101" s="2"/>
    </row>
    <row r="102" customFormat="false" ht="15" hidden="false" customHeight="false" outlineLevel="0" collapsed="false">
      <c r="A102" s="2" t="s">
        <v>411</v>
      </c>
      <c r="B102" s="2" t="s">
        <v>223</v>
      </c>
      <c r="C102" s="2" t="n">
        <v>12</v>
      </c>
      <c r="D102" s="2" t="s">
        <v>147</v>
      </c>
      <c r="E102" s="2" t="s">
        <v>154</v>
      </c>
      <c r="F102" s="2" t="s">
        <v>233</v>
      </c>
      <c r="G102" s="2" t="s">
        <v>117</v>
      </c>
      <c r="H102" s="2" t="s">
        <v>410</v>
      </c>
      <c r="I102" s="2" t="s">
        <v>125</v>
      </c>
      <c r="J102" s="2" t="s">
        <v>128</v>
      </c>
      <c r="K102" s="2" t="s">
        <v>226</v>
      </c>
      <c r="L102" s="33" t="n">
        <v>45148</v>
      </c>
      <c r="M102" s="33" t="n">
        <v>45151</v>
      </c>
      <c r="N102" s="2" t="n">
        <v>3</v>
      </c>
      <c r="O102" s="2" t="s">
        <v>180</v>
      </c>
      <c r="P102" s="34" t="b">
        <f aca="false">FALSE()</f>
        <v>0</v>
      </c>
      <c r="Q102" s="34" t="b">
        <f aca="false">FALSE()</f>
        <v>0</v>
      </c>
      <c r="R102" s="2" t="n">
        <v>8</v>
      </c>
      <c r="S102" s="2" t="s">
        <v>164</v>
      </c>
      <c r="T102" s="2" t="s">
        <v>227</v>
      </c>
      <c r="U102" s="2" t="s">
        <v>176</v>
      </c>
      <c r="V102" s="34" t="b">
        <f aca="false">FALSE()</f>
        <v>0</v>
      </c>
      <c r="W102" s="2" t="s">
        <v>139</v>
      </c>
      <c r="X102" s="2" t="s">
        <v>228</v>
      </c>
      <c r="Y102" s="34" t="b">
        <f aca="false">TRUE()</f>
        <v>1</v>
      </c>
      <c r="Z102" s="2" t="s">
        <v>144</v>
      </c>
      <c r="AA102" s="2" t="s">
        <v>229</v>
      </c>
      <c r="AB102" s="34" t="b">
        <f aca="false">TRUE()</f>
        <v>1</v>
      </c>
      <c r="AC102" s="35"/>
      <c r="AD102" s="35" t="n">
        <v>3852</v>
      </c>
      <c r="AE102" s="2" t="s">
        <v>230</v>
      </c>
      <c r="AF102" s="35"/>
      <c r="AG102" s="34" t="b">
        <f aca="false">FALSE()</f>
        <v>0</v>
      </c>
      <c r="AH102" s="2" t="s">
        <v>412</v>
      </c>
    </row>
    <row r="103" customFormat="false" ht="15" hidden="false" customHeight="false" outlineLevel="0" collapsed="false">
      <c r="A103" s="2" t="s">
        <v>413</v>
      </c>
      <c r="B103" s="2" t="s">
        <v>289</v>
      </c>
      <c r="C103" s="2" t="n">
        <v>63</v>
      </c>
      <c r="D103" s="2" t="s">
        <v>150</v>
      </c>
      <c r="E103" s="2" t="s">
        <v>154</v>
      </c>
      <c r="F103" s="2" t="s">
        <v>233</v>
      </c>
      <c r="G103" s="2" t="s">
        <v>117</v>
      </c>
      <c r="H103" s="2" t="s">
        <v>410</v>
      </c>
      <c r="I103" s="2" t="s">
        <v>125</v>
      </c>
      <c r="J103" s="2" t="s">
        <v>132</v>
      </c>
      <c r="K103" s="2" t="s">
        <v>249</v>
      </c>
      <c r="L103" s="33" t="n">
        <v>45203</v>
      </c>
      <c r="M103" s="33" t="n">
        <v>45204</v>
      </c>
      <c r="N103" s="2" t="n">
        <v>1</v>
      </c>
      <c r="O103" s="2" t="s">
        <v>180</v>
      </c>
      <c r="P103" s="34" t="b">
        <f aca="false">FALSE()</f>
        <v>0</v>
      </c>
      <c r="Q103" s="34" t="b">
        <f aca="false">FALSE()</f>
        <v>0</v>
      </c>
      <c r="R103" s="2" t="n">
        <v>10</v>
      </c>
      <c r="S103" s="2" t="s">
        <v>166</v>
      </c>
      <c r="T103" s="2" t="s">
        <v>241</v>
      </c>
      <c r="U103" s="2" t="s">
        <v>175</v>
      </c>
      <c r="V103" s="34" t="b">
        <f aca="false">FALSE()</f>
        <v>0</v>
      </c>
      <c r="W103" s="2" t="s">
        <v>139</v>
      </c>
      <c r="X103" s="2" t="s">
        <v>228</v>
      </c>
      <c r="Y103" s="34" t="b">
        <f aca="false">TRUE()</f>
        <v>1</v>
      </c>
      <c r="Z103" s="2" t="s">
        <v>144</v>
      </c>
      <c r="AA103" s="2" t="s">
        <v>229</v>
      </c>
      <c r="AB103" s="34" t="b">
        <f aca="false">TRUE()</f>
        <v>1</v>
      </c>
      <c r="AC103" s="35" t="n">
        <v>1230</v>
      </c>
      <c r="AD103" s="35" t="n">
        <v>1230</v>
      </c>
      <c r="AE103" s="2" t="s">
        <v>242</v>
      </c>
      <c r="AF103" s="35" t="n">
        <v>1230</v>
      </c>
      <c r="AG103" s="34" t="b">
        <f aca="false">FALSE()</f>
        <v>0</v>
      </c>
      <c r="AH103" s="2"/>
    </row>
    <row r="104" customFormat="false" ht="15" hidden="false" customHeight="false" outlineLevel="0" collapsed="false">
      <c r="A104" s="2" t="s">
        <v>414</v>
      </c>
      <c r="B104" s="2" t="s">
        <v>298</v>
      </c>
      <c r="C104" s="2" t="n">
        <v>80</v>
      </c>
      <c r="D104" s="2" t="s">
        <v>150</v>
      </c>
      <c r="E104" s="2" t="s">
        <v>154</v>
      </c>
      <c r="F104" s="2" t="s">
        <v>233</v>
      </c>
      <c r="G104" s="2" t="s">
        <v>114</v>
      </c>
      <c r="H104" s="2" t="s">
        <v>403</v>
      </c>
      <c r="I104" s="2" t="s">
        <v>122</v>
      </c>
      <c r="J104" s="2" t="s">
        <v>128</v>
      </c>
      <c r="K104" s="2" t="s">
        <v>226</v>
      </c>
      <c r="L104" s="33" t="n">
        <v>45212</v>
      </c>
      <c r="M104" s="33" t="n">
        <v>45214</v>
      </c>
      <c r="N104" s="2" t="n">
        <v>2</v>
      </c>
      <c r="O104" s="2" t="s">
        <v>180</v>
      </c>
      <c r="P104" s="34" t="b">
        <f aca="false">FALSE()</f>
        <v>0</v>
      </c>
      <c r="Q104" s="34" t="b">
        <f aca="false">FALSE()</f>
        <v>0</v>
      </c>
      <c r="R104" s="2" t="n">
        <v>10</v>
      </c>
      <c r="S104" s="2" t="s">
        <v>166</v>
      </c>
      <c r="T104" s="2" t="s">
        <v>241</v>
      </c>
      <c r="U104" s="2" t="s">
        <v>177</v>
      </c>
      <c r="V104" s="34" t="b">
        <f aca="false">TRUE()</f>
        <v>1</v>
      </c>
      <c r="W104" s="2" t="s">
        <v>137</v>
      </c>
      <c r="X104" s="2" t="s">
        <v>235</v>
      </c>
      <c r="Y104" s="34" t="b">
        <f aca="false">FALSE()</f>
        <v>0</v>
      </c>
      <c r="Z104" s="2" t="s">
        <v>144</v>
      </c>
      <c r="AA104" s="2" t="s">
        <v>229</v>
      </c>
      <c r="AB104" s="34" t="b">
        <f aca="false">TRUE()</f>
        <v>1</v>
      </c>
      <c r="AC104" s="35" t="n">
        <v>5035</v>
      </c>
      <c r="AD104" s="35" t="n">
        <v>5035</v>
      </c>
      <c r="AE104" s="2" t="s">
        <v>242</v>
      </c>
      <c r="AF104" s="35" t="n">
        <v>2517.5</v>
      </c>
      <c r="AG104" s="34" t="b">
        <f aca="false">FALSE()</f>
        <v>0</v>
      </c>
      <c r="AH104" s="2"/>
    </row>
    <row r="105" customFormat="false" ht="15" hidden="false" customHeight="false" outlineLevel="0" collapsed="false">
      <c r="A105" s="2" t="s">
        <v>415</v>
      </c>
      <c r="B105" s="2" t="s">
        <v>368</v>
      </c>
      <c r="C105" s="2" t="n">
        <v>78</v>
      </c>
      <c r="D105" s="2" t="s">
        <v>150</v>
      </c>
      <c r="E105" s="2" t="s">
        <v>154</v>
      </c>
      <c r="F105" s="2" t="s">
        <v>233</v>
      </c>
      <c r="G105" s="2" t="s">
        <v>114</v>
      </c>
      <c r="H105" s="2" t="s">
        <v>403</v>
      </c>
      <c r="I105" s="2" t="s">
        <v>122</v>
      </c>
      <c r="J105" s="2" t="s">
        <v>131</v>
      </c>
      <c r="K105" s="2" t="s">
        <v>263</v>
      </c>
      <c r="L105" s="33" t="n">
        <v>45011</v>
      </c>
      <c r="M105" s="33" t="n">
        <v>45041</v>
      </c>
      <c r="N105" s="2" t="n">
        <v>30</v>
      </c>
      <c r="O105" s="2" t="s">
        <v>183</v>
      </c>
      <c r="P105" s="34" t="b">
        <f aca="false">TRUE()</f>
        <v>1</v>
      </c>
      <c r="Q105" s="34" t="b">
        <f aca="false">TRUE()</f>
        <v>1</v>
      </c>
      <c r="R105" s="2" t="n">
        <v>3</v>
      </c>
      <c r="S105" s="2" t="s">
        <v>159</v>
      </c>
      <c r="T105" s="2" t="s">
        <v>234</v>
      </c>
      <c r="U105" s="2" t="s">
        <v>172</v>
      </c>
      <c r="V105" s="34" t="b">
        <f aca="false">FALSE()</f>
        <v>0</v>
      </c>
      <c r="W105" s="2" t="s">
        <v>137</v>
      </c>
      <c r="X105" s="2" t="s">
        <v>235</v>
      </c>
      <c r="Y105" s="34" t="b">
        <f aca="false">FALSE()</f>
        <v>0</v>
      </c>
      <c r="Z105" s="2" t="s">
        <v>144</v>
      </c>
      <c r="AA105" s="2" t="s">
        <v>229</v>
      </c>
      <c r="AB105" s="34" t="b">
        <f aca="false">TRUE()</f>
        <v>1</v>
      </c>
      <c r="AC105" s="35"/>
      <c r="AD105" s="35" t="n">
        <v>999</v>
      </c>
      <c r="AE105" s="2" t="s">
        <v>257</v>
      </c>
      <c r="AF105" s="35"/>
      <c r="AG105" s="34" t="b">
        <f aca="false">FALSE()</f>
        <v>0</v>
      </c>
      <c r="AH105" s="2"/>
    </row>
    <row r="106" customFormat="false" ht="15" hidden="false" customHeight="false" outlineLevel="0" collapsed="false">
      <c r="A106" s="2" t="s">
        <v>416</v>
      </c>
      <c r="B106" s="2" t="s">
        <v>280</v>
      </c>
      <c r="C106" s="2" t="n">
        <v>49</v>
      </c>
      <c r="D106" s="2" t="s">
        <v>149</v>
      </c>
      <c r="E106" s="2" t="s">
        <v>153</v>
      </c>
      <c r="F106" s="2" t="s">
        <v>224</v>
      </c>
      <c r="G106" s="2" t="s">
        <v>114</v>
      </c>
      <c r="H106" s="2" t="s">
        <v>403</v>
      </c>
      <c r="I106" s="2" t="s">
        <v>122</v>
      </c>
      <c r="J106" s="2" t="s">
        <v>128</v>
      </c>
      <c r="K106" s="2" t="s">
        <v>226</v>
      </c>
      <c r="L106" s="33" t="n">
        <v>45005</v>
      </c>
      <c r="M106" s="33" t="n">
        <v>45008</v>
      </c>
      <c r="N106" s="2" t="n">
        <v>3</v>
      </c>
      <c r="O106" s="2" t="s">
        <v>180</v>
      </c>
      <c r="P106" s="34" t="b">
        <f aca="false">FALSE()</f>
        <v>0</v>
      </c>
      <c r="Q106" s="34" t="b">
        <f aca="false">FALSE()</f>
        <v>0</v>
      </c>
      <c r="R106" s="2" t="n">
        <v>3</v>
      </c>
      <c r="S106" s="2" t="s">
        <v>159</v>
      </c>
      <c r="T106" s="2" t="s">
        <v>234</v>
      </c>
      <c r="U106" s="2" t="s">
        <v>173</v>
      </c>
      <c r="V106" s="34" t="b">
        <f aca="false">FALSE()</f>
        <v>0</v>
      </c>
      <c r="W106" s="2" t="s">
        <v>137</v>
      </c>
      <c r="X106" s="2" t="s">
        <v>235</v>
      </c>
      <c r="Y106" s="34" t="b">
        <f aca="false">FALSE()</f>
        <v>0</v>
      </c>
      <c r="Z106" s="2" t="s">
        <v>142</v>
      </c>
      <c r="AA106" s="2" t="s">
        <v>256</v>
      </c>
      <c r="AB106" s="34" t="b">
        <f aca="false">FALSE()</f>
        <v>0</v>
      </c>
      <c r="AC106" s="35"/>
      <c r="AD106" s="35" t="n">
        <v>999</v>
      </c>
      <c r="AE106" s="2" t="s">
        <v>257</v>
      </c>
      <c r="AF106" s="35"/>
      <c r="AG106" s="34" t="b">
        <f aca="false">FALSE()</f>
        <v>0</v>
      </c>
      <c r="AH106" s="2"/>
    </row>
    <row r="107" customFormat="false" ht="15" hidden="false" customHeight="false" outlineLevel="0" collapsed="false">
      <c r="A107" s="2" t="s">
        <v>417</v>
      </c>
      <c r="B107" s="2" t="s">
        <v>259</v>
      </c>
      <c r="C107" s="2" t="n">
        <v>5</v>
      </c>
      <c r="D107" s="2" t="s">
        <v>147</v>
      </c>
      <c r="E107" s="2" t="s">
        <v>153</v>
      </c>
      <c r="F107" s="2" t="s">
        <v>224</v>
      </c>
      <c r="G107" s="2" t="s">
        <v>114</v>
      </c>
      <c r="H107" s="2" t="s">
        <v>403</v>
      </c>
      <c r="I107" s="2" t="s">
        <v>122</v>
      </c>
      <c r="J107" s="2" t="s">
        <v>131</v>
      </c>
      <c r="K107" s="2" t="s">
        <v>263</v>
      </c>
      <c r="L107" s="33" t="n">
        <v>44945</v>
      </c>
      <c r="M107" s="33" t="n">
        <v>44958</v>
      </c>
      <c r="N107" s="2" t="n">
        <v>13</v>
      </c>
      <c r="O107" s="2" t="s">
        <v>182</v>
      </c>
      <c r="P107" s="34" t="b">
        <f aca="false">TRUE()</f>
        <v>1</v>
      </c>
      <c r="Q107" s="34" t="b">
        <f aca="false">FALSE()</f>
        <v>0</v>
      </c>
      <c r="R107" s="2" t="n">
        <v>1</v>
      </c>
      <c r="S107" s="2" t="s">
        <v>157</v>
      </c>
      <c r="T107" s="2" t="s">
        <v>234</v>
      </c>
      <c r="U107" s="2" t="s">
        <v>176</v>
      </c>
      <c r="V107" s="34" t="b">
        <f aca="false">FALSE()</f>
        <v>0</v>
      </c>
      <c r="W107" s="2" t="s">
        <v>138</v>
      </c>
      <c r="X107" s="2" t="s">
        <v>250</v>
      </c>
      <c r="Y107" s="34" t="b">
        <f aca="false">FALSE()</f>
        <v>0</v>
      </c>
      <c r="Z107" s="2" t="s">
        <v>142</v>
      </c>
      <c r="AA107" s="2" t="s">
        <v>256</v>
      </c>
      <c r="AB107" s="34" t="b">
        <f aca="false">FALSE()</f>
        <v>0</v>
      </c>
      <c r="AC107" s="35"/>
      <c r="AD107" s="35" t="n">
        <v>3852</v>
      </c>
      <c r="AE107" s="2" t="s">
        <v>230</v>
      </c>
      <c r="AF107" s="35"/>
      <c r="AG107" s="34" t="b">
        <f aca="false">FALSE()</f>
        <v>0</v>
      </c>
      <c r="AH107" s="2" t="s">
        <v>412</v>
      </c>
    </row>
    <row r="108" customFormat="false" ht="15" hidden="false" customHeight="false" outlineLevel="0" collapsed="false">
      <c r="A108" s="2" t="s">
        <v>418</v>
      </c>
      <c r="B108" s="2" t="s">
        <v>398</v>
      </c>
      <c r="C108" s="2" t="n">
        <v>48</v>
      </c>
      <c r="D108" s="2" t="s">
        <v>149</v>
      </c>
      <c r="E108" s="2" t="s">
        <v>154</v>
      </c>
      <c r="F108" s="2" t="s">
        <v>233</v>
      </c>
      <c r="G108" s="2" t="s">
        <v>114</v>
      </c>
      <c r="H108" s="2" t="s">
        <v>403</v>
      </c>
      <c r="I108" s="2" t="s">
        <v>122</v>
      </c>
      <c r="J108" s="2" t="s">
        <v>128</v>
      </c>
      <c r="K108" s="2" t="s">
        <v>226</v>
      </c>
      <c r="L108" s="33" t="n">
        <v>44944</v>
      </c>
      <c r="M108" s="33" t="n">
        <v>44949</v>
      </c>
      <c r="N108" s="2" t="n">
        <v>5</v>
      </c>
      <c r="O108" s="2" t="s">
        <v>181</v>
      </c>
      <c r="P108" s="34" t="b">
        <f aca="false">FALSE()</f>
        <v>0</v>
      </c>
      <c r="Q108" s="34" t="b">
        <f aca="false">FALSE()</f>
        <v>0</v>
      </c>
      <c r="R108" s="2" t="n">
        <v>1</v>
      </c>
      <c r="S108" s="2" t="s">
        <v>157</v>
      </c>
      <c r="T108" s="2" t="s">
        <v>234</v>
      </c>
      <c r="U108" s="2" t="s">
        <v>175</v>
      </c>
      <c r="V108" s="34" t="b">
        <f aca="false">FALSE()</f>
        <v>0</v>
      </c>
      <c r="W108" s="2" t="s">
        <v>139</v>
      </c>
      <c r="X108" s="2" t="s">
        <v>228</v>
      </c>
      <c r="Y108" s="34" t="b">
        <f aca="false">TRUE()</f>
        <v>1</v>
      </c>
      <c r="Z108" s="2" t="s">
        <v>142</v>
      </c>
      <c r="AA108" s="2" t="s">
        <v>256</v>
      </c>
      <c r="AB108" s="34" t="b">
        <f aca="false">FALSE()</f>
        <v>0</v>
      </c>
      <c r="AC108" s="35"/>
      <c r="AD108" s="35" t="n">
        <v>999</v>
      </c>
      <c r="AE108" s="2" t="s">
        <v>257</v>
      </c>
      <c r="AF108" s="35"/>
      <c r="AG108" s="34" t="b">
        <f aca="false">TRUE()</f>
        <v>1</v>
      </c>
      <c r="AH108" s="2"/>
    </row>
    <row r="109" customFormat="false" ht="15" hidden="false" customHeight="false" outlineLevel="0" collapsed="false">
      <c r="A109" s="2" t="s">
        <v>419</v>
      </c>
      <c r="B109" s="2" t="s">
        <v>323</v>
      </c>
      <c r="C109" s="2" t="n">
        <v>59</v>
      </c>
      <c r="D109" s="2" t="s">
        <v>149</v>
      </c>
      <c r="E109" s="2" t="s">
        <v>153</v>
      </c>
      <c r="F109" s="2" t="s">
        <v>224</v>
      </c>
      <c r="G109" s="2" t="s">
        <v>115</v>
      </c>
      <c r="H109" s="2" t="s">
        <v>225</v>
      </c>
      <c r="I109" s="2" t="s">
        <v>122</v>
      </c>
      <c r="J109" s="2" t="s">
        <v>131</v>
      </c>
      <c r="K109" s="2" t="s">
        <v>263</v>
      </c>
      <c r="L109" s="33" t="n">
        <v>44940</v>
      </c>
      <c r="M109" s="33" t="n">
        <v>44947</v>
      </c>
      <c r="N109" s="2" t="n">
        <v>7</v>
      </c>
      <c r="O109" s="2" t="s">
        <v>181</v>
      </c>
      <c r="P109" s="34" t="b">
        <f aca="false">FALSE()</f>
        <v>0</v>
      </c>
      <c r="Q109" s="34" t="b">
        <f aca="false">FALSE()</f>
        <v>0</v>
      </c>
      <c r="R109" s="2" t="n">
        <v>1</v>
      </c>
      <c r="S109" s="2" t="s">
        <v>157</v>
      </c>
      <c r="T109" s="2" t="s">
        <v>234</v>
      </c>
      <c r="U109" s="2" t="s">
        <v>171</v>
      </c>
      <c r="V109" s="34" t="b">
        <f aca="false">TRUE()</f>
        <v>1</v>
      </c>
      <c r="W109" s="2" t="s">
        <v>137</v>
      </c>
      <c r="X109" s="2" t="s">
        <v>235</v>
      </c>
      <c r="Y109" s="34" t="b">
        <f aca="false">FALSE()</f>
        <v>0</v>
      </c>
      <c r="Z109" s="2" t="s">
        <v>143</v>
      </c>
      <c r="AA109" s="2" t="s">
        <v>236</v>
      </c>
      <c r="AB109" s="34" t="b">
        <f aca="false">FALSE()</f>
        <v>0</v>
      </c>
      <c r="AC109" s="35"/>
      <c r="AD109" s="35" t="n">
        <v>999</v>
      </c>
      <c r="AE109" s="2" t="s">
        <v>257</v>
      </c>
      <c r="AF109" s="35"/>
      <c r="AG109" s="34" t="b">
        <f aca="false">FALSE()</f>
        <v>0</v>
      </c>
      <c r="AH109" s="2"/>
    </row>
    <row r="110" customFormat="false" ht="15" hidden="false" customHeight="false" outlineLevel="0" collapsed="false">
      <c r="A110" s="2" t="s">
        <v>420</v>
      </c>
      <c r="B110" s="2" t="s">
        <v>421</v>
      </c>
      <c r="C110" s="2" t="n">
        <v>19</v>
      </c>
      <c r="D110" s="2" t="s">
        <v>148</v>
      </c>
      <c r="E110" s="2" t="s">
        <v>154</v>
      </c>
      <c r="F110" s="2" t="s">
        <v>233</v>
      </c>
      <c r="G110" s="2" t="s">
        <v>115</v>
      </c>
      <c r="H110" s="2" t="s">
        <v>225</v>
      </c>
      <c r="I110" s="2" t="s">
        <v>122</v>
      </c>
      <c r="J110" s="2" t="s">
        <v>130</v>
      </c>
      <c r="K110" s="2" t="s">
        <v>245</v>
      </c>
      <c r="L110" s="33" t="n">
        <v>45133</v>
      </c>
      <c r="M110" s="33" t="n">
        <v>45135</v>
      </c>
      <c r="N110" s="2" t="n">
        <v>2</v>
      </c>
      <c r="O110" s="2" t="s">
        <v>180</v>
      </c>
      <c r="P110" s="34" t="b">
        <f aca="false">FALSE()</f>
        <v>0</v>
      </c>
      <c r="Q110" s="34" t="b">
        <f aca="false">FALSE()</f>
        <v>0</v>
      </c>
      <c r="R110" s="2" t="n">
        <v>7</v>
      </c>
      <c r="S110" s="2" t="s">
        <v>163</v>
      </c>
      <c r="T110" s="2" t="s">
        <v>227</v>
      </c>
      <c r="U110" s="2" t="s">
        <v>175</v>
      </c>
      <c r="V110" s="34" t="b">
        <f aca="false">FALSE()</f>
        <v>0</v>
      </c>
      <c r="W110" s="2" t="s">
        <v>137</v>
      </c>
      <c r="X110" s="2" t="s">
        <v>235</v>
      </c>
      <c r="Y110" s="34" t="b">
        <f aca="false">FALSE()</f>
        <v>0</v>
      </c>
      <c r="Z110" s="2" t="s">
        <v>143</v>
      </c>
      <c r="AA110" s="2" t="s">
        <v>236</v>
      </c>
      <c r="AB110" s="34" t="b">
        <f aca="false">FALSE()</f>
        <v>0</v>
      </c>
      <c r="AC110" s="35" t="n">
        <v>1262</v>
      </c>
      <c r="AD110" s="35" t="n">
        <v>1262</v>
      </c>
      <c r="AE110" s="2" t="s">
        <v>242</v>
      </c>
      <c r="AF110" s="35" t="n">
        <v>631</v>
      </c>
      <c r="AG110" s="34" t="b">
        <f aca="false">FALSE()</f>
        <v>0</v>
      </c>
      <c r="AH110" s="2"/>
    </row>
    <row r="111" customFormat="false" ht="15" hidden="false" customHeight="false" outlineLevel="0" collapsed="false">
      <c r="A111" s="2" t="s">
        <v>422</v>
      </c>
      <c r="B111" s="2" t="s">
        <v>360</v>
      </c>
      <c r="C111" s="2" t="n">
        <v>49</v>
      </c>
      <c r="D111" s="2" t="s">
        <v>149</v>
      </c>
      <c r="E111" s="2" t="s">
        <v>153</v>
      </c>
      <c r="F111" s="2" t="s">
        <v>224</v>
      </c>
      <c r="G111" s="2" t="s">
        <v>115</v>
      </c>
      <c r="H111" s="2" t="s">
        <v>225</v>
      </c>
      <c r="I111" s="2" t="s">
        <v>122</v>
      </c>
      <c r="J111" s="2" t="s">
        <v>134</v>
      </c>
      <c r="K111" s="2" t="s">
        <v>240</v>
      </c>
      <c r="L111" s="33" t="n">
        <v>44952</v>
      </c>
      <c r="M111" s="33" t="n">
        <v>44964</v>
      </c>
      <c r="N111" s="2" t="n">
        <v>12</v>
      </c>
      <c r="O111" s="2" t="s">
        <v>182</v>
      </c>
      <c r="P111" s="34" t="b">
        <f aca="false">TRUE()</f>
        <v>1</v>
      </c>
      <c r="Q111" s="34" t="b">
        <f aca="false">FALSE()</f>
        <v>0</v>
      </c>
      <c r="R111" s="2" t="n">
        <v>1</v>
      </c>
      <c r="S111" s="2" t="s">
        <v>157</v>
      </c>
      <c r="T111" s="2" t="s">
        <v>234</v>
      </c>
      <c r="U111" s="2" t="s">
        <v>176</v>
      </c>
      <c r="V111" s="34" t="b">
        <f aca="false">FALSE()</f>
        <v>0</v>
      </c>
      <c r="W111" s="2" t="s">
        <v>139</v>
      </c>
      <c r="X111" s="2" t="s">
        <v>228</v>
      </c>
      <c r="Y111" s="34" t="b">
        <f aca="false">TRUE()</f>
        <v>1</v>
      </c>
      <c r="Z111" s="2" t="s">
        <v>142</v>
      </c>
      <c r="AA111" s="2" t="s">
        <v>256</v>
      </c>
      <c r="AB111" s="34" t="b">
        <f aca="false">FALSE()</f>
        <v>0</v>
      </c>
      <c r="AC111" s="35"/>
      <c r="AD111" s="35" t="n">
        <v>999</v>
      </c>
      <c r="AE111" s="2" t="s">
        <v>257</v>
      </c>
      <c r="AF111" s="35"/>
      <c r="AG111" s="34" t="b">
        <f aca="false">FALSE()</f>
        <v>0</v>
      </c>
      <c r="AH111" s="2"/>
    </row>
    <row r="112" customFormat="false" ht="15" hidden="false" customHeight="false" outlineLevel="0" collapsed="false">
      <c r="A112" s="2" t="s">
        <v>423</v>
      </c>
      <c r="B112" s="2" t="s">
        <v>336</v>
      </c>
      <c r="C112" s="2" t="n">
        <v>26</v>
      </c>
      <c r="D112" s="2" t="s">
        <v>148</v>
      </c>
      <c r="E112" s="2" t="s">
        <v>154</v>
      </c>
      <c r="F112" s="2" t="s">
        <v>233</v>
      </c>
      <c r="G112" s="2" t="s">
        <v>115</v>
      </c>
      <c r="H112" s="2" t="s">
        <v>225</v>
      </c>
      <c r="I112" s="2" t="s">
        <v>122</v>
      </c>
      <c r="J112" s="2" t="s">
        <v>130</v>
      </c>
      <c r="K112" s="2" t="s">
        <v>245</v>
      </c>
      <c r="L112" s="33" t="n">
        <v>44931</v>
      </c>
      <c r="M112" s="33" t="n">
        <v>44933</v>
      </c>
      <c r="N112" s="2" t="n">
        <v>2</v>
      </c>
      <c r="O112" s="2" t="s">
        <v>180</v>
      </c>
      <c r="P112" s="34" t="b">
        <f aca="false">FALSE()</f>
        <v>0</v>
      </c>
      <c r="Q112" s="34" t="b">
        <f aca="false">FALSE()</f>
        <v>0</v>
      </c>
      <c r="R112" s="2" t="n">
        <v>1</v>
      </c>
      <c r="S112" s="2" t="s">
        <v>157</v>
      </c>
      <c r="T112" s="2" t="s">
        <v>234</v>
      </c>
      <c r="U112" s="2" t="s">
        <v>176</v>
      </c>
      <c r="V112" s="34" t="b">
        <f aca="false">FALSE()</f>
        <v>0</v>
      </c>
      <c r="W112" s="2" t="s">
        <v>138</v>
      </c>
      <c r="X112" s="2" t="s">
        <v>250</v>
      </c>
      <c r="Y112" s="34" t="b">
        <f aca="false">FALSE()</f>
        <v>0</v>
      </c>
      <c r="Z112" s="2" t="s">
        <v>144</v>
      </c>
      <c r="AA112" s="2" t="s">
        <v>229</v>
      </c>
      <c r="AB112" s="34" t="b">
        <f aca="false">TRUE()</f>
        <v>1</v>
      </c>
      <c r="AC112" s="35"/>
      <c r="AD112" s="35" t="n">
        <v>999</v>
      </c>
      <c r="AE112" s="2" t="s">
        <v>257</v>
      </c>
      <c r="AF112" s="35"/>
      <c r="AG112" s="34" t="b">
        <f aca="false">FALSE()</f>
        <v>0</v>
      </c>
      <c r="AH112" s="2"/>
    </row>
    <row r="113" customFormat="false" ht="15" hidden="false" customHeight="false" outlineLevel="0" collapsed="false">
      <c r="A113" s="2" t="s">
        <v>424</v>
      </c>
      <c r="B113" s="2" t="s">
        <v>254</v>
      </c>
      <c r="C113" s="2" t="n">
        <v>77</v>
      </c>
      <c r="D113" s="2" t="s">
        <v>150</v>
      </c>
      <c r="E113" s="2" t="s">
        <v>154</v>
      </c>
      <c r="F113" s="2" t="s">
        <v>233</v>
      </c>
      <c r="G113" s="2" t="s">
        <v>112</v>
      </c>
      <c r="H113" s="2" t="s">
        <v>330</v>
      </c>
      <c r="I113" s="2" t="s">
        <v>123</v>
      </c>
      <c r="J113" s="2" t="s">
        <v>130</v>
      </c>
      <c r="K113" s="2" t="s">
        <v>245</v>
      </c>
      <c r="L113" s="33" t="n">
        <v>45200</v>
      </c>
      <c r="M113" s="33" t="n">
        <v>45202</v>
      </c>
      <c r="N113" s="2" t="n">
        <v>2</v>
      </c>
      <c r="O113" s="2" t="s">
        <v>180</v>
      </c>
      <c r="P113" s="34" t="b">
        <f aca="false">FALSE()</f>
        <v>0</v>
      </c>
      <c r="Q113" s="34" t="b">
        <f aca="false">FALSE()</f>
        <v>0</v>
      </c>
      <c r="R113" s="2" t="n">
        <v>10</v>
      </c>
      <c r="S113" s="2" t="s">
        <v>166</v>
      </c>
      <c r="T113" s="2" t="s">
        <v>241</v>
      </c>
      <c r="U113" s="2" t="s">
        <v>172</v>
      </c>
      <c r="V113" s="34" t="b">
        <f aca="false">FALSE()</f>
        <v>0</v>
      </c>
      <c r="W113" s="2" t="s">
        <v>138</v>
      </c>
      <c r="X113" s="2" t="s">
        <v>250</v>
      </c>
      <c r="Y113" s="34" t="b">
        <f aca="false">FALSE()</f>
        <v>0</v>
      </c>
      <c r="Z113" s="2" t="s">
        <v>144</v>
      </c>
      <c r="AA113" s="2" t="s">
        <v>229</v>
      </c>
      <c r="AB113" s="34" t="b">
        <f aca="false">TRUE()</f>
        <v>1</v>
      </c>
      <c r="AC113" s="35"/>
      <c r="AD113" s="35" t="n">
        <v>3852</v>
      </c>
      <c r="AE113" s="2" t="s">
        <v>230</v>
      </c>
      <c r="AF113" s="35"/>
      <c r="AG113" s="34" t="b">
        <f aca="false">FALSE()</f>
        <v>0</v>
      </c>
      <c r="AH113" s="2"/>
    </row>
    <row r="114" customFormat="false" ht="15" hidden="false" customHeight="false" outlineLevel="0" collapsed="false">
      <c r="A114" s="2" t="s">
        <v>425</v>
      </c>
      <c r="B114" s="2" t="s">
        <v>426</v>
      </c>
      <c r="C114" s="2" t="n">
        <v>50</v>
      </c>
      <c r="D114" s="2" t="s">
        <v>149</v>
      </c>
      <c r="E114" s="2" t="s">
        <v>153</v>
      </c>
      <c r="F114" s="2" t="s">
        <v>224</v>
      </c>
      <c r="G114" s="2" t="s">
        <v>112</v>
      </c>
      <c r="H114" s="2" t="s">
        <v>330</v>
      </c>
      <c r="I114" s="2" t="s">
        <v>123</v>
      </c>
      <c r="J114" s="2" t="s">
        <v>128</v>
      </c>
      <c r="K114" s="2" t="s">
        <v>226</v>
      </c>
      <c r="L114" s="33" t="n">
        <v>45051</v>
      </c>
      <c r="M114" s="33" t="n">
        <v>45065</v>
      </c>
      <c r="N114" s="2" t="n">
        <v>14</v>
      </c>
      <c r="O114" s="2" t="s">
        <v>182</v>
      </c>
      <c r="P114" s="34" t="b">
        <f aca="false">TRUE()</f>
        <v>1</v>
      </c>
      <c r="Q114" s="34" t="b">
        <f aca="false">FALSE()</f>
        <v>0</v>
      </c>
      <c r="R114" s="2" t="n">
        <v>5</v>
      </c>
      <c r="S114" s="2" t="s">
        <v>161</v>
      </c>
      <c r="T114" s="2" t="s">
        <v>246</v>
      </c>
      <c r="U114" s="2" t="s">
        <v>177</v>
      </c>
      <c r="V114" s="34" t="b">
        <f aca="false">TRUE()</f>
        <v>1</v>
      </c>
      <c r="W114" s="2" t="s">
        <v>137</v>
      </c>
      <c r="X114" s="2" t="s">
        <v>235</v>
      </c>
      <c r="Y114" s="34" t="b">
        <f aca="false">FALSE()</f>
        <v>0</v>
      </c>
      <c r="Z114" s="2" t="s">
        <v>144</v>
      </c>
      <c r="AA114" s="2" t="s">
        <v>229</v>
      </c>
      <c r="AB114" s="34" t="b">
        <f aca="false">TRUE()</f>
        <v>1</v>
      </c>
      <c r="AC114" s="35"/>
      <c r="AD114" s="35" t="n">
        <v>3852</v>
      </c>
      <c r="AE114" s="2" t="s">
        <v>230</v>
      </c>
      <c r="AF114" s="35"/>
      <c r="AG114" s="34" t="b">
        <f aca="false">FALSE()</f>
        <v>0</v>
      </c>
      <c r="AH114" s="2"/>
    </row>
    <row r="115" customFormat="false" ht="15" hidden="false" customHeight="false" outlineLevel="0" collapsed="false">
      <c r="A115" s="2" t="s">
        <v>427</v>
      </c>
      <c r="B115" s="2" t="s">
        <v>345</v>
      </c>
      <c r="C115" s="2" t="n">
        <v>64</v>
      </c>
      <c r="D115" s="2" t="s">
        <v>150</v>
      </c>
      <c r="E115" s="2" t="s">
        <v>153</v>
      </c>
      <c r="F115" s="2" t="s">
        <v>224</v>
      </c>
      <c r="G115" s="2" t="s">
        <v>112</v>
      </c>
      <c r="H115" s="2" t="s">
        <v>330</v>
      </c>
      <c r="I115" s="2" t="s">
        <v>123</v>
      </c>
      <c r="J115" s="2" t="s">
        <v>133</v>
      </c>
      <c r="K115" s="2" t="s">
        <v>255</v>
      </c>
      <c r="L115" s="33" t="n">
        <v>45225</v>
      </c>
      <c r="M115" s="33" t="n">
        <v>45245</v>
      </c>
      <c r="N115" s="2" t="n">
        <v>20</v>
      </c>
      <c r="O115" s="2" t="s">
        <v>183</v>
      </c>
      <c r="P115" s="34" t="b">
        <f aca="false">TRUE()</f>
        <v>1</v>
      </c>
      <c r="Q115" s="34" t="b">
        <f aca="false">TRUE()</f>
        <v>1</v>
      </c>
      <c r="R115" s="2" t="n">
        <v>10</v>
      </c>
      <c r="S115" s="2" t="s">
        <v>166</v>
      </c>
      <c r="T115" s="2" t="s">
        <v>241</v>
      </c>
      <c r="U115" s="2" t="s">
        <v>176</v>
      </c>
      <c r="V115" s="34" t="b">
        <f aca="false">FALSE()</f>
        <v>0</v>
      </c>
      <c r="W115" s="2" t="s">
        <v>138</v>
      </c>
      <c r="X115" s="2" t="s">
        <v>250</v>
      </c>
      <c r="Y115" s="34" t="b">
        <f aca="false">FALSE()</f>
        <v>0</v>
      </c>
      <c r="Z115" s="2" t="s">
        <v>144</v>
      </c>
      <c r="AA115" s="2" t="s">
        <v>229</v>
      </c>
      <c r="AB115" s="34" t="b">
        <f aca="false">TRUE()</f>
        <v>1</v>
      </c>
      <c r="AC115" s="35"/>
      <c r="AD115" s="35" t="n">
        <v>3852</v>
      </c>
      <c r="AE115" s="2" t="s">
        <v>230</v>
      </c>
      <c r="AF115" s="35"/>
      <c r="AG115" s="34" t="b">
        <f aca="false">FALSE()</f>
        <v>0</v>
      </c>
      <c r="AH115" s="2" t="s">
        <v>283</v>
      </c>
    </row>
    <row r="116" customFormat="false" ht="15" hidden="false" customHeight="false" outlineLevel="0" collapsed="false">
      <c r="A116" s="2" t="s">
        <v>428</v>
      </c>
      <c r="B116" s="2" t="s">
        <v>325</v>
      </c>
      <c r="C116" s="2" t="n">
        <v>36</v>
      </c>
      <c r="D116" s="2" t="s">
        <v>148</v>
      </c>
      <c r="E116" s="2" t="s">
        <v>154</v>
      </c>
      <c r="F116" s="2" t="s">
        <v>233</v>
      </c>
      <c r="G116" s="2" t="s">
        <v>112</v>
      </c>
      <c r="H116" s="2" t="s">
        <v>330</v>
      </c>
      <c r="I116" s="2" t="s">
        <v>123</v>
      </c>
      <c r="J116" s="2" t="s">
        <v>132</v>
      </c>
      <c r="K116" s="2" t="s">
        <v>249</v>
      </c>
      <c r="L116" s="33" t="n">
        <v>45071</v>
      </c>
      <c r="M116" s="33" t="n">
        <v>45074</v>
      </c>
      <c r="N116" s="2" t="n">
        <v>3</v>
      </c>
      <c r="O116" s="2" t="s">
        <v>180</v>
      </c>
      <c r="P116" s="34" t="b">
        <f aca="false">FALSE()</f>
        <v>0</v>
      </c>
      <c r="Q116" s="34" t="b">
        <f aca="false">FALSE()</f>
        <v>0</v>
      </c>
      <c r="R116" s="2" t="n">
        <v>5</v>
      </c>
      <c r="S116" s="2" t="s">
        <v>161</v>
      </c>
      <c r="T116" s="2" t="s">
        <v>246</v>
      </c>
      <c r="U116" s="2" t="s">
        <v>176</v>
      </c>
      <c r="V116" s="34" t="b">
        <f aca="false">FALSE()</f>
        <v>0</v>
      </c>
      <c r="W116" s="2" t="s">
        <v>138</v>
      </c>
      <c r="X116" s="2" t="s">
        <v>250</v>
      </c>
      <c r="Y116" s="34" t="b">
        <f aca="false">FALSE()</f>
        <v>0</v>
      </c>
      <c r="Z116" s="2" t="s">
        <v>144</v>
      </c>
      <c r="AA116" s="2" t="s">
        <v>229</v>
      </c>
      <c r="AB116" s="34" t="b">
        <f aca="false">TRUE()</f>
        <v>1</v>
      </c>
      <c r="AC116" s="35"/>
      <c r="AD116" s="35" t="n">
        <v>999</v>
      </c>
      <c r="AE116" s="2" t="s">
        <v>257</v>
      </c>
      <c r="AF116" s="35"/>
      <c r="AG116" s="34" t="b">
        <f aca="false">FALSE()</f>
        <v>0</v>
      </c>
      <c r="AH116" s="2"/>
    </row>
    <row r="117" customFormat="false" ht="15" hidden="false" customHeight="false" outlineLevel="0" collapsed="false">
      <c r="A117" s="2" t="s">
        <v>429</v>
      </c>
      <c r="B117" s="2" t="s">
        <v>365</v>
      </c>
      <c r="C117" s="2" t="n">
        <v>31</v>
      </c>
      <c r="D117" s="2" t="s">
        <v>148</v>
      </c>
      <c r="E117" s="2" t="s">
        <v>153</v>
      </c>
      <c r="F117" s="2" t="s">
        <v>224</v>
      </c>
      <c r="G117" s="2" t="s">
        <v>112</v>
      </c>
      <c r="H117" s="2" t="s">
        <v>330</v>
      </c>
      <c r="I117" s="2" t="s">
        <v>123</v>
      </c>
      <c r="J117" s="2" t="s">
        <v>133</v>
      </c>
      <c r="K117" s="2" t="s">
        <v>255</v>
      </c>
      <c r="L117" s="33" t="n">
        <v>45042</v>
      </c>
      <c r="M117" s="33" t="n">
        <v>45044</v>
      </c>
      <c r="N117" s="2" t="n">
        <v>2</v>
      </c>
      <c r="O117" s="2" t="s">
        <v>180</v>
      </c>
      <c r="P117" s="34" t="b">
        <f aca="false">FALSE()</f>
        <v>0</v>
      </c>
      <c r="Q117" s="34" t="b">
        <f aca="false">FALSE()</f>
        <v>0</v>
      </c>
      <c r="R117" s="2" t="n">
        <v>4</v>
      </c>
      <c r="S117" s="2" t="s">
        <v>160</v>
      </c>
      <c r="T117" s="2" t="s">
        <v>246</v>
      </c>
      <c r="U117" s="2" t="s">
        <v>175</v>
      </c>
      <c r="V117" s="34" t="b">
        <f aca="false">FALSE()</f>
        <v>0</v>
      </c>
      <c r="W117" s="2" t="s">
        <v>137</v>
      </c>
      <c r="X117" s="2" t="s">
        <v>235</v>
      </c>
      <c r="Y117" s="34" t="b">
        <f aca="false">FALSE()</f>
        <v>0</v>
      </c>
      <c r="Z117" s="2" t="s">
        <v>143</v>
      </c>
      <c r="AA117" s="2" t="s">
        <v>236</v>
      </c>
      <c r="AB117" s="34" t="b">
        <f aca="false">FALSE()</f>
        <v>0</v>
      </c>
      <c r="AC117" s="35"/>
      <c r="AD117" s="35" t="n">
        <v>999</v>
      </c>
      <c r="AE117" s="2" t="s">
        <v>257</v>
      </c>
      <c r="AF117" s="35"/>
      <c r="AG117" s="34" t="b">
        <f aca="false">FALSE()</f>
        <v>0</v>
      </c>
      <c r="AH117" s="2"/>
    </row>
    <row r="118" customFormat="false" ht="15" hidden="false" customHeight="false" outlineLevel="0" collapsed="false">
      <c r="A118" s="2" t="s">
        <v>430</v>
      </c>
      <c r="B118" s="2" t="s">
        <v>379</v>
      </c>
      <c r="C118" s="2" t="n">
        <v>25</v>
      </c>
      <c r="D118" s="2" t="s">
        <v>148</v>
      </c>
      <c r="E118" s="2" t="s">
        <v>154</v>
      </c>
      <c r="F118" s="2" t="s">
        <v>233</v>
      </c>
      <c r="G118" s="2" t="s">
        <v>112</v>
      </c>
      <c r="H118" s="2" t="s">
        <v>330</v>
      </c>
      <c r="I118" s="2" t="s">
        <v>123</v>
      </c>
      <c r="J118" s="2" t="s">
        <v>131</v>
      </c>
      <c r="K118" s="2" t="s">
        <v>263</v>
      </c>
      <c r="L118" s="33" t="n">
        <v>45058</v>
      </c>
      <c r="M118" s="33" t="n">
        <v>45076</v>
      </c>
      <c r="N118" s="2" t="n">
        <v>18</v>
      </c>
      <c r="O118" s="2" t="s">
        <v>183</v>
      </c>
      <c r="P118" s="34" t="b">
        <f aca="false">TRUE()</f>
        <v>1</v>
      </c>
      <c r="Q118" s="34" t="b">
        <f aca="false">TRUE()</f>
        <v>1</v>
      </c>
      <c r="R118" s="2" t="n">
        <v>5</v>
      </c>
      <c r="S118" s="2" t="s">
        <v>161</v>
      </c>
      <c r="T118" s="2" t="s">
        <v>246</v>
      </c>
      <c r="U118" s="2" t="s">
        <v>177</v>
      </c>
      <c r="V118" s="34" t="b">
        <f aca="false">TRUE()</f>
        <v>1</v>
      </c>
      <c r="W118" s="2" t="s">
        <v>137</v>
      </c>
      <c r="X118" s="2" t="s">
        <v>235</v>
      </c>
      <c r="Y118" s="34" t="b">
        <f aca="false">FALSE()</f>
        <v>0</v>
      </c>
      <c r="Z118" s="2" t="s">
        <v>144</v>
      </c>
      <c r="AA118" s="2" t="s">
        <v>229</v>
      </c>
      <c r="AB118" s="34" t="b">
        <f aca="false">TRUE()</f>
        <v>1</v>
      </c>
      <c r="AC118" s="35"/>
      <c r="AD118" s="35" t="n">
        <v>999</v>
      </c>
      <c r="AE118" s="2" t="s">
        <v>257</v>
      </c>
      <c r="AF118" s="35"/>
      <c r="AG118" s="34" t="b">
        <f aca="false">FALSE()</f>
        <v>0</v>
      </c>
      <c r="AH118" s="2" t="s">
        <v>283</v>
      </c>
    </row>
    <row r="119" customFormat="false" ht="15" hidden="false" customHeight="false" outlineLevel="0" collapsed="false">
      <c r="A119" s="2" t="s">
        <v>431</v>
      </c>
      <c r="B119" s="2" t="s">
        <v>426</v>
      </c>
      <c r="C119" s="2" t="n">
        <v>1</v>
      </c>
      <c r="D119" s="2" t="s">
        <v>147</v>
      </c>
      <c r="E119" s="2" t="s">
        <v>153</v>
      </c>
      <c r="F119" s="2" t="s">
        <v>224</v>
      </c>
      <c r="G119" s="2" t="s">
        <v>112</v>
      </c>
      <c r="H119" s="2" t="s">
        <v>330</v>
      </c>
      <c r="I119" s="2" t="s">
        <v>123</v>
      </c>
      <c r="J119" s="2" t="s">
        <v>131</v>
      </c>
      <c r="K119" s="2" t="s">
        <v>263</v>
      </c>
      <c r="L119" s="33" t="n">
        <v>45272</v>
      </c>
      <c r="M119" s="33" t="n">
        <v>45273</v>
      </c>
      <c r="N119" s="2" t="n">
        <v>1</v>
      </c>
      <c r="O119" s="2" t="s">
        <v>180</v>
      </c>
      <c r="P119" s="34" t="b">
        <f aca="false">FALSE()</f>
        <v>0</v>
      </c>
      <c r="Q119" s="34" t="b">
        <f aca="false">FALSE()</f>
        <v>0</v>
      </c>
      <c r="R119" s="2" t="n">
        <v>12</v>
      </c>
      <c r="S119" s="2" t="s">
        <v>168</v>
      </c>
      <c r="T119" s="2" t="s">
        <v>241</v>
      </c>
      <c r="U119" s="2" t="s">
        <v>174</v>
      </c>
      <c r="V119" s="34" t="b">
        <f aca="false">FALSE()</f>
        <v>0</v>
      </c>
      <c r="W119" s="2" t="s">
        <v>139</v>
      </c>
      <c r="X119" s="2" t="s">
        <v>228</v>
      </c>
      <c r="Y119" s="34" t="b">
        <f aca="false">TRUE()</f>
        <v>1</v>
      </c>
      <c r="Z119" s="2" t="s">
        <v>144</v>
      </c>
      <c r="AA119" s="2" t="s">
        <v>229</v>
      </c>
      <c r="AB119" s="34" t="b">
        <f aca="false">TRUE()</f>
        <v>1</v>
      </c>
      <c r="AC119" s="35"/>
      <c r="AD119" s="35" t="n">
        <v>999</v>
      </c>
      <c r="AE119" s="2" t="s">
        <v>257</v>
      </c>
      <c r="AF119" s="35"/>
      <c r="AG119" s="34" t="b">
        <f aca="false">FALSE()</f>
        <v>0</v>
      </c>
      <c r="AH119" s="2"/>
    </row>
    <row r="120" customFormat="false" ht="15" hidden="false" customHeight="false" outlineLevel="0" collapsed="false">
      <c r="A120" s="2" t="s">
        <v>432</v>
      </c>
      <c r="B120" s="2" t="s">
        <v>426</v>
      </c>
      <c r="C120" s="2" t="n">
        <v>81</v>
      </c>
      <c r="D120" s="2" t="s">
        <v>150</v>
      </c>
      <c r="E120" s="2" t="s">
        <v>153</v>
      </c>
      <c r="F120" s="2" t="s">
        <v>224</v>
      </c>
      <c r="G120" s="2" t="s">
        <v>112</v>
      </c>
      <c r="H120" s="2" t="s">
        <v>330</v>
      </c>
      <c r="I120" s="2" t="s">
        <v>123</v>
      </c>
      <c r="J120" s="2" t="s">
        <v>129</v>
      </c>
      <c r="K120" s="2" t="s">
        <v>260</v>
      </c>
      <c r="L120" s="33" t="n">
        <v>44941</v>
      </c>
      <c r="M120" s="33" t="n">
        <v>44944</v>
      </c>
      <c r="N120" s="2" t="n">
        <v>3</v>
      </c>
      <c r="O120" s="2" t="s">
        <v>180</v>
      </c>
      <c r="P120" s="34" t="b">
        <f aca="false">FALSE()</f>
        <v>0</v>
      </c>
      <c r="Q120" s="34" t="b">
        <f aca="false">FALSE()</f>
        <v>0</v>
      </c>
      <c r="R120" s="2" t="n">
        <v>1</v>
      </c>
      <c r="S120" s="2" t="s">
        <v>157</v>
      </c>
      <c r="T120" s="2" t="s">
        <v>234</v>
      </c>
      <c r="U120" s="2" t="s">
        <v>172</v>
      </c>
      <c r="V120" s="34" t="b">
        <f aca="false">FALSE()</f>
        <v>0</v>
      </c>
      <c r="W120" s="2" t="s">
        <v>139</v>
      </c>
      <c r="X120" s="2" t="s">
        <v>228</v>
      </c>
      <c r="Y120" s="34" t="b">
        <f aca="false">TRUE()</f>
        <v>1</v>
      </c>
      <c r="Z120" s="2" t="s">
        <v>144</v>
      </c>
      <c r="AA120" s="2" t="s">
        <v>229</v>
      </c>
      <c r="AB120" s="34" t="b">
        <f aca="false">TRUE()</f>
        <v>1</v>
      </c>
      <c r="AC120" s="35" t="n">
        <v>2873</v>
      </c>
      <c r="AD120" s="35" t="n">
        <v>2873</v>
      </c>
      <c r="AE120" s="2" t="s">
        <v>242</v>
      </c>
      <c r="AF120" s="35" t="n">
        <v>957.67</v>
      </c>
      <c r="AG120" s="34" t="b">
        <f aca="false">FALSE()</f>
        <v>0</v>
      </c>
      <c r="AH120" s="2"/>
    </row>
    <row r="121" customFormat="false" ht="15" hidden="false" customHeight="false" outlineLevel="0" collapsed="false">
      <c r="A121" s="2" t="s">
        <v>433</v>
      </c>
      <c r="B121" s="2" t="s">
        <v>252</v>
      </c>
      <c r="C121" s="2" t="n">
        <v>68</v>
      </c>
      <c r="D121" s="2" t="s">
        <v>150</v>
      </c>
      <c r="E121" s="2" t="s">
        <v>153</v>
      </c>
      <c r="F121" s="2" t="s">
        <v>224</v>
      </c>
      <c r="G121" s="2" t="s">
        <v>112</v>
      </c>
      <c r="H121" s="2" t="s">
        <v>330</v>
      </c>
      <c r="I121" s="2" t="s">
        <v>123</v>
      </c>
      <c r="J121" s="2" t="s">
        <v>133</v>
      </c>
      <c r="K121" s="2" t="s">
        <v>255</v>
      </c>
      <c r="L121" s="33" t="n">
        <v>45146</v>
      </c>
      <c r="M121" s="33" t="n">
        <v>45153</v>
      </c>
      <c r="N121" s="2" t="n">
        <v>7</v>
      </c>
      <c r="O121" s="2" t="s">
        <v>181</v>
      </c>
      <c r="P121" s="34" t="b">
        <f aca="false">FALSE()</f>
        <v>0</v>
      </c>
      <c r="Q121" s="34" t="b">
        <f aca="false">FALSE()</f>
        <v>0</v>
      </c>
      <c r="R121" s="2" t="n">
        <v>8</v>
      </c>
      <c r="S121" s="2" t="s">
        <v>164</v>
      </c>
      <c r="T121" s="2" t="s">
        <v>227</v>
      </c>
      <c r="U121" s="2" t="s">
        <v>174</v>
      </c>
      <c r="V121" s="34" t="b">
        <f aca="false">FALSE()</f>
        <v>0</v>
      </c>
      <c r="W121" s="2" t="s">
        <v>137</v>
      </c>
      <c r="X121" s="2" t="s">
        <v>235</v>
      </c>
      <c r="Y121" s="34" t="b">
        <f aca="false">FALSE()</f>
        <v>0</v>
      </c>
      <c r="Z121" s="2" t="s">
        <v>144</v>
      </c>
      <c r="AA121" s="2" t="s">
        <v>229</v>
      </c>
      <c r="AB121" s="34" t="b">
        <f aca="false">TRUE()</f>
        <v>1</v>
      </c>
      <c r="AC121" s="35"/>
      <c r="AD121" s="35" t="n">
        <v>3852</v>
      </c>
      <c r="AE121" s="2" t="s">
        <v>230</v>
      </c>
      <c r="AF121" s="35"/>
      <c r="AG121" s="34" t="b">
        <f aca="false">FALSE()</f>
        <v>0</v>
      </c>
      <c r="AH121" s="2"/>
    </row>
    <row r="122" customFormat="false" ht="15" hidden="false" customHeight="false" outlineLevel="0" collapsed="false">
      <c r="A122" s="2" t="s">
        <v>434</v>
      </c>
      <c r="B122" s="2" t="s">
        <v>358</v>
      </c>
      <c r="C122" s="2" t="n">
        <v>13</v>
      </c>
      <c r="D122" s="2" t="s">
        <v>147</v>
      </c>
      <c r="E122" s="2" t="s">
        <v>153</v>
      </c>
      <c r="F122" s="2" t="s">
        <v>224</v>
      </c>
      <c r="G122" s="2" t="s">
        <v>112</v>
      </c>
      <c r="H122" s="2" t="s">
        <v>330</v>
      </c>
      <c r="I122" s="2" t="s">
        <v>123</v>
      </c>
      <c r="J122" s="2" t="s">
        <v>128</v>
      </c>
      <c r="K122" s="2" t="s">
        <v>226</v>
      </c>
      <c r="L122" s="33" t="n">
        <v>45001</v>
      </c>
      <c r="M122" s="33" t="n">
        <v>45004</v>
      </c>
      <c r="N122" s="2" t="n">
        <v>3</v>
      </c>
      <c r="O122" s="2" t="s">
        <v>180</v>
      </c>
      <c r="P122" s="34" t="b">
        <f aca="false">FALSE()</f>
        <v>0</v>
      </c>
      <c r="Q122" s="34" t="b">
        <f aca="false">FALSE()</f>
        <v>0</v>
      </c>
      <c r="R122" s="2" t="n">
        <v>3</v>
      </c>
      <c r="S122" s="2" t="s">
        <v>159</v>
      </c>
      <c r="T122" s="2" t="s">
        <v>234</v>
      </c>
      <c r="U122" s="2" t="s">
        <v>176</v>
      </c>
      <c r="V122" s="34" t="b">
        <f aca="false">FALSE()</f>
        <v>0</v>
      </c>
      <c r="W122" s="2" t="s">
        <v>137</v>
      </c>
      <c r="X122" s="2" t="s">
        <v>235</v>
      </c>
      <c r="Y122" s="34" t="b">
        <f aca="false">FALSE()</f>
        <v>0</v>
      </c>
      <c r="Z122" s="2" t="s">
        <v>142</v>
      </c>
      <c r="AA122" s="2" t="s">
        <v>256</v>
      </c>
      <c r="AB122" s="34" t="b">
        <f aca="false">FALSE()</f>
        <v>0</v>
      </c>
      <c r="AC122" s="35"/>
      <c r="AD122" s="35" t="n">
        <v>999</v>
      </c>
      <c r="AE122" s="2" t="s">
        <v>257</v>
      </c>
      <c r="AF122" s="35"/>
      <c r="AG122" s="34" t="b">
        <f aca="false">FALSE()</f>
        <v>0</v>
      </c>
      <c r="AH122" s="2"/>
    </row>
    <row r="123" customFormat="false" ht="15" hidden="false" customHeight="false" outlineLevel="0" collapsed="false">
      <c r="A123" s="2" t="s">
        <v>435</v>
      </c>
      <c r="B123" s="2" t="s">
        <v>379</v>
      </c>
      <c r="C123" s="2" t="n">
        <v>46</v>
      </c>
      <c r="D123" s="2" t="s">
        <v>149</v>
      </c>
      <c r="E123" s="2" t="s">
        <v>154</v>
      </c>
      <c r="F123" s="2" t="s">
        <v>233</v>
      </c>
      <c r="G123" s="2" t="s">
        <v>112</v>
      </c>
      <c r="H123" s="2" t="s">
        <v>330</v>
      </c>
      <c r="I123" s="2" t="s">
        <v>123</v>
      </c>
      <c r="J123" s="2" t="s">
        <v>132</v>
      </c>
      <c r="K123" s="2" t="s">
        <v>249</v>
      </c>
      <c r="L123" s="33" t="n">
        <v>45028</v>
      </c>
      <c r="M123" s="33" t="n">
        <v>45043</v>
      </c>
      <c r="N123" s="2" t="n">
        <v>15</v>
      </c>
      <c r="O123" s="2" t="s">
        <v>183</v>
      </c>
      <c r="P123" s="34" t="b">
        <f aca="false">TRUE()</f>
        <v>1</v>
      </c>
      <c r="Q123" s="34" t="b">
        <f aca="false">FALSE()</f>
        <v>0</v>
      </c>
      <c r="R123" s="2" t="n">
        <v>4</v>
      </c>
      <c r="S123" s="2" t="s">
        <v>160</v>
      </c>
      <c r="T123" s="2" t="s">
        <v>246</v>
      </c>
      <c r="U123" s="2" t="s">
        <v>175</v>
      </c>
      <c r="V123" s="34" t="b">
        <f aca="false">FALSE()</f>
        <v>0</v>
      </c>
      <c r="W123" s="2" t="s">
        <v>137</v>
      </c>
      <c r="X123" s="2" t="s">
        <v>235</v>
      </c>
      <c r="Y123" s="34" t="b">
        <f aca="false">FALSE()</f>
        <v>0</v>
      </c>
      <c r="Z123" s="2" t="s">
        <v>143</v>
      </c>
      <c r="AA123" s="2" t="s">
        <v>236</v>
      </c>
      <c r="AB123" s="34" t="b">
        <f aca="false">FALSE()</f>
        <v>0</v>
      </c>
      <c r="AC123" s="35"/>
      <c r="AD123" s="35" t="n">
        <v>3852</v>
      </c>
      <c r="AE123" s="2" t="s">
        <v>230</v>
      </c>
      <c r="AF123" s="35"/>
      <c r="AG123" s="34" t="b">
        <f aca="false">FALSE()</f>
        <v>0</v>
      </c>
      <c r="AH123" s="2" t="s">
        <v>283</v>
      </c>
    </row>
    <row r="124" customFormat="false" ht="15" hidden="false" customHeight="false" outlineLevel="0" collapsed="false">
      <c r="A124" s="2" t="s">
        <v>436</v>
      </c>
      <c r="B124" s="2" t="s">
        <v>223</v>
      </c>
      <c r="C124" s="2" t="n">
        <v>49</v>
      </c>
      <c r="D124" s="2" t="s">
        <v>149</v>
      </c>
      <c r="E124" s="2" t="s">
        <v>153</v>
      </c>
      <c r="F124" s="2" t="s">
        <v>224</v>
      </c>
      <c r="G124" s="2" t="s">
        <v>112</v>
      </c>
      <c r="H124" s="2" t="s">
        <v>330</v>
      </c>
      <c r="I124" s="2" t="s">
        <v>123</v>
      </c>
      <c r="J124" s="2" t="s">
        <v>134</v>
      </c>
      <c r="K124" s="2" t="s">
        <v>240</v>
      </c>
      <c r="L124" s="33" t="n">
        <v>45027</v>
      </c>
      <c r="M124" s="33" t="n">
        <v>45030</v>
      </c>
      <c r="N124" s="2" t="n">
        <v>3</v>
      </c>
      <c r="O124" s="2" t="s">
        <v>180</v>
      </c>
      <c r="P124" s="34" t="b">
        <f aca="false">FALSE()</f>
        <v>0</v>
      </c>
      <c r="Q124" s="34" t="b">
        <f aca="false">FALSE()</f>
        <v>0</v>
      </c>
      <c r="R124" s="2" t="n">
        <v>4</v>
      </c>
      <c r="S124" s="2" t="s">
        <v>160</v>
      </c>
      <c r="T124" s="2" t="s">
        <v>246</v>
      </c>
      <c r="U124" s="2" t="s">
        <v>174</v>
      </c>
      <c r="V124" s="34" t="b">
        <f aca="false">FALSE()</f>
        <v>0</v>
      </c>
      <c r="W124" s="2" t="s">
        <v>139</v>
      </c>
      <c r="X124" s="2" t="s">
        <v>228</v>
      </c>
      <c r="Y124" s="34" t="b">
        <f aca="false">TRUE()</f>
        <v>1</v>
      </c>
      <c r="Z124" s="2" t="s">
        <v>144</v>
      </c>
      <c r="AA124" s="2" t="s">
        <v>229</v>
      </c>
      <c r="AB124" s="34" t="b">
        <f aca="false">TRUE()</f>
        <v>1</v>
      </c>
      <c r="AC124" s="35" t="n">
        <v>3682</v>
      </c>
      <c r="AD124" s="35" t="n">
        <v>3682</v>
      </c>
      <c r="AE124" s="2" t="s">
        <v>242</v>
      </c>
      <c r="AF124" s="35" t="n">
        <v>1227.33</v>
      </c>
      <c r="AG124" s="34" t="b">
        <f aca="false">FALSE()</f>
        <v>0</v>
      </c>
      <c r="AH124" s="2"/>
    </row>
    <row r="125" customFormat="false" ht="15" hidden="false" customHeight="false" outlineLevel="0" collapsed="false">
      <c r="A125" s="2" t="s">
        <v>437</v>
      </c>
      <c r="B125" s="2" t="s">
        <v>334</v>
      </c>
      <c r="C125" s="2" t="n">
        <v>86</v>
      </c>
      <c r="D125" s="2" t="s">
        <v>150</v>
      </c>
      <c r="E125" s="2" t="s">
        <v>153</v>
      </c>
      <c r="F125" s="2" t="s">
        <v>224</v>
      </c>
      <c r="G125" s="2" t="s">
        <v>112</v>
      </c>
      <c r="H125" s="2" t="s">
        <v>330</v>
      </c>
      <c r="I125" s="2" t="s">
        <v>123</v>
      </c>
      <c r="J125" s="2" t="s">
        <v>129</v>
      </c>
      <c r="K125" s="2" t="s">
        <v>260</v>
      </c>
      <c r="L125" s="33" t="n">
        <v>45059</v>
      </c>
      <c r="M125" s="33" t="n">
        <v>45083</v>
      </c>
      <c r="N125" s="2" t="n">
        <v>24</v>
      </c>
      <c r="O125" s="2" t="s">
        <v>183</v>
      </c>
      <c r="P125" s="34" t="b">
        <f aca="false">TRUE()</f>
        <v>1</v>
      </c>
      <c r="Q125" s="34" t="b">
        <f aca="false">TRUE()</f>
        <v>1</v>
      </c>
      <c r="R125" s="2" t="n">
        <v>5</v>
      </c>
      <c r="S125" s="2" t="s">
        <v>161</v>
      </c>
      <c r="T125" s="2" t="s">
        <v>246</v>
      </c>
      <c r="U125" s="2" t="s">
        <v>171</v>
      </c>
      <c r="V125" s="34" t="b">
        <f aca="false">TRUE()</f>
        <v>1</v>
      </c>
      <c r="W125" s="2" t="s">
        <v>139</v>
      </c>
      <c r="X125" s="2" t="s">
        <v>228</v>
      </c>
      <c r="Y125" s="34" t="b">
        <f aca="false">TRUE()</f>
        <v>1</v>
      </c>
      <c r="Z125" s="2" t="s">
        <v>142</v>
      </c>
      <c r="AA125" s="2" t="s">
        <v>256</v>
      </c>
      <c r="AB125" s="34" t="b">
        <f aca="false">FALSE()</f>
        <v>0</v>
      </c>
      <c r="AC125" s="35"/>
      <c r="AD125" s="35" t="n">
        <v>3852</v>
      </c>
      <c r="AE125" s="2" t="s">
        <v>230</v>
      </c>
      <c r="AF125" s="35"/>
      <c r="AG125" s="34" t="b">
        <f aca="false">FALSE()</f>
        <v>0</v>
      </c>
      <c r="AH125" s="2" t="s">
        <v>283</v>
      </c>
    </row>
    <row r="126" customFormat="false" ht="15" hidden="false" customHeight="false" outlineLevel="0" collapsed="false">
      <c r="A126" s="2" t="s">
        <v>438</v>
      </c>
      <c r="B126" s="2" t="s">
        <v>289</v>
      </c>
      <c r="C126" s="2" t="n">
        <v>76</v>
      </c>
      <c r="D126" s="2" t="s">
        <v>150</v>
      </c>
      <c r="E126" s="2" t="s">
        <v>153</v>
      </c>
      <c r="F126" s="2" t="s">
        <v>224</v>
      </c>
      <c r="G126" s="2" t="s">
        <v>112</v>
      </c>
      <c r="H126" s="2" t="s">
        <v>330</v>
      </c>
      <c r="I126" s="2" t="s">
        <v>123</v>
      </c>
      <c r="J126" s="2" t="s">
        <v>130</v>
      </c>
      <c r="K126" s="2" t="s">
        <v>245</v>
      </c>
      <c r="L126" s="33" t="n">
        <v>44954</v>
      </c>
      <c r="M126" s="33" t="n">
        <v>44958</v>
      </c>
      <c r="N126" s="2" t="n">
        <v>4</v>
      </c>
      <c r="O126" s="2" t="s">
        <v>181</v>
      </c>
      <c r="P126" s="34" t="b">
        <f aca="false">FALSE()</f>
        <v>0</v>
      </c>
      <c r="Q126" s="34" t="b">
        <f aca="false">FALSE()</f>
        <v>0</v>
      </c>
      <c r="R126" s="2" t="n">
        <v>1</v>
      </c>
      <c r="S126" s="2" t="s">
        <v>157</v>
      </c>
      <c r="T126" s="2" t="s">
        <v>234</v>
      </c>
      <c r="U126" s="2" t="s">
        <v>171</v>
      </c>
      <c r="V126" s="34" t="b">
        <f aca="false">TRUE()</f>
        <v>1</v>
      </c>
      <c r="W126" s="2" t="s">
        <v>139</v>
      </c>
      <c r="X126" s="2" t="s">
        <v>228</v>
      </c>
      <c r="Y126" s="34" t="b">
        <f aca="false">TRUE()</f>
        <v>1</v>
      </c>
      <c r="Z126" s="2" t="s">
        <v>142</v>
      </c>
      <c r="AA126" s="2" t="s">
        <v>256</v>
      </c>
      <c r="AB126" s="34" t="b">
        <f aca="false">FALSE()</f>
        <v>0</v>
      </c>
      <c r="AC126" s="35"/>
      <c r="AD126" s="35" t="n">
        <v>999</v>
      </c>
      <c r="AE126" s="2" t="s">
        <v>257</v>
      </c>
      <c r="AF126" s="35"/>
      <c r="AG126" s="34" t="b">
        <f aca="false">TRUE()</f>
        <v>1</v>
      </c>
      <c r="AH126" s="2"/>
    </row>
    <row r="127" customFormat="false" ht="15" hidden="false" customHeight="false" outlineLevel="0" collapsed="false">
      <c r="A127" s="2" t="s">
        <v>439</v>
      </c>
      <c r="B127" s="2" t="s">
        <v>259</v>
      </c>
      <c r="C127" s="2" t="n">
        <v>41</v>
      </c>
      <c r="D127" s="2" t="s">
        <v>149</v>
      </c>
      <c r="E127" s="2" t="s">
        <v>153</v>
      </c>
      <c r="F127" s="2" t="s">
        <v>224</v>
      </c>
      <c r="G127" s="2" t="s">
        <v>112</v>
      </c>
      <c r="H127" s="2" t="s">
        <v>330</v>
      </c>
      <c r="I127" s="2" t="s">
        <v>123</v>
      </c>
      <c r="J127" s="2" t="s">
        <v>132</v>
      </c>
      <c r="K127" s="2" t="s">
        <v>249</v>
      </c>
      <c r="L127" s="33" t="n">
        <v>45021</v>
      </c>
      <c r="M127" s="33" t="n">
        <v>45039</v>
      </c>
      <c r="N127" s="2" t="n">
        <v>18</v>
      </c>
      <c r="O127" s="2" t="s">
        <v>183</v>
      </c>
      <c r="P127" s="34" t="b">
        <f aca="false">TRUE()</f>
        <v>1</v>
      </c>
      <c r="Q127" s="34" t="b">
        <f aca="false">TRUE()</f>
        <v>1</v>
      </c>
      <c r="R127" s="2" t="n">
        <v>4</v>
      </c>
      <c r="S127" s="2" t="s">
        <v>160</v>
      </c>
      <c r="T127" s="2" t="s">
        <v>246</v>
      </c>
      <c r="U127" s="2" t="s">
        <v>175</v>
      </c>
      <c r="V127" s="34" t="b">
        <f aca="false">FALSE()</f>
        <v>0</v>
      </c>
      <c r="W127" s="2" t="s">
        <v>137</v>
      </c>
      <c r="X127" s="2" t="s">
        <v>235</v>
      </c>
      <c r="Y127" s="34" t="b">
        <f aca="false">FALSE()</f>
        <v>0</v>
      </c>
      <c r="Z127" s="2" t="s">
        <v>142</v>
      </c>
      <c r="AA127" s="2" t="s">
        <v>256</v>
      </c>
      <c r="AB127" s="34" t="b">
        <f aca="false">FALSE()</f>
        <v>0</v>
      </c>
      <c r="AC127" s="35"/>
      <c r="AD127" s="35" t="n">
        <v>3852</v>
      </c>
      <c r="AE127" s="2" t="s">
        <v>230</v>
      </c>
      <c r="AF127" s="35"/>
      <c r="AG127" s="34" t="b">
        <f aca="false">FALSE()</f>
        <v>0</v>
      </c>
      <c r="AH127" s="2" t="s">
        <v>283</v>
      </c>
    </row>
    <row r="128" customFormat="false" ht="15" hidden="false" customHeight="false" outlineLevel="0" collapsed="false">
      <c r="A128" s="2" t="s">
        <v>440</v>
      </c>
      <c r="B128" s="2" t="s">
        <v>441</v>
      </c>
      <c r="C128" s="2" t="n">
        <v>59</v>
      </c>
      <c r="D128" s="2" t="s">
        <v>149</v>
      </c>
      <c r="E128" s="2" t="s">
        <v>153</v>
      </c>
      <c r="F128" s="2" t="s">
        <v>224</v>
      </c>
      <c r="G128" s="2" t="s">
        <v>112</v>
      </c>
      <c r="H128" s="2" t="s">
        <v>330</v>
      </c>
      <c r="I128" s="2" t="s">
        <v>123</v>
      </c>
      <c r="J128" s="2" t="s">
        <v>131</v>
      </c>
      <c r="K128" s="2" t="s">
        <v>263</v>
      </c>
      <c r="L128" s="33" t="n">
        <v>45286</v>
      </c>
      <c r="M128" s="33" t="n">
        <v>45303</v>
      </c>
      <c r="N128" s="2" t="n">
        <v>17</v>
      </c>
      <c r="O128" s="2" t="s">
        <v>183</v>
      </c>
      <c r="P128" s="34" t="b">
        <f aca="false">TRUE()</f>
        <v>1</v>
      </c>
      <c r="Q128" s="34" t="b">
        <f aca="false">FALSE()</f>
        <v>0</v>
      </c>
      <c r="R128" s="2" t="n">
        <v>12</v>
      </c>
      <c r="S128" s="2" t="s">
        <v>168</v>
      </c>
      <c r="T128" s="2" t="s">
        <v>241</v>
      </c>
      <c r="U128" s="2" t="s">
        <v>174</v>
      </c>
      <c r="V128" s="34" t="b">
        <f aca="false">FALSE()</f>
        <v>0</v>
      </c>
      <c r="W128" s="2" t="s">
        <v>138</v>
      </c>
      <c r="X128" s="2" t="s">
        <v>250</v>
      </c>
      <c r="Y128" s="34" t="b">
        <f aca="false">FALSE()</f>
        <v>0</v>
      </c>
      <c r="Z128" s="2" t="s">
        <v>144</v>
      </c>
      <c r="AA128" s="2" t="s">
        <v>229</v>
      </c>
      <c r="AB128" s="34" t="b">
        <f aca="false">TRUE()</f>
        <v>1</v>
      </c>
      <c r="AC128" s="35"/>
      <c r="AD128" s="35" t="n">
        <v>999</v>
      </c>
      <c r="AE128" s="2" t="s">
        <v>257</v>
      </c>
      <c r="AF128" s="35"/>
      <c r="AG128" s="34" t="b">
        <f aca="false">FALSE()</f>
        <v>0</v>
      </c>
      <c r="AH128" s="2" t="s">
        <v>283</v>
      </c>
    </row>
    <row r="129" customFormat="false" ht="15" hidden="false" customHeight="false" outlineLevel="0" collapsed="false">
      <c r="A129" s="2" t="s">
        <v>442</v>
      </c>
      <c r="B129" s="2" t="s">
        <v>277</v>
      </c>
      <c r="C129" s="2" t="n">
        <v>74</v>
      </c>
      <c r="D129" s="2" t="s">
        <v>150</v>
      </c>
      <c r="E129" s="2" t="s">
        <v>154</v>
      </c>
      <c r="F129" s="2" t="s">
        <v>233</v>
      </c>
      <c r="G129" s="2" t="s">
        <v>114</v>
      </c>
      <c r="H129" s="2" t="s">
        <v>403</v>
      </c>
      <c r="I129" s="2" t="s">
        <v>122</v>
      </c>
      <c r="J129" s="2" t="s">
        <v>132</v>
      </c>
      <c r="K129" s="2" t="s">
        <v>249</v>
      </c>
      <c r="L129" s="33" t="n">
        <v>45266</v>
      </c>
      <c r="M129" s="33" t="n">
        <v>45268</v>
      </c>
      <c r="N129" s="2" t="n">
        <v>2</v>
      </c>
      <c r="O129" s="2" t="s">
        <v>180</v>
      </c>
      <c r="P129" s="34" t="b">
        <f aca="false">FALSE()</f>
        <v>0</v>
      </c>
      <c r="Q129" s="34" t="b">
        <f aca="false">FALSE()</f>
        <v>0</v>
      </c>
      <c r="R129" s="2" t="n">
        <v>12</v>
      </c>
      <c r="S129" s="2" t="s">
        <v>168</v>
      </c>
      <c r="T129" s="2" t="s">
        <v>241</v>
      </c>
      <c r="U129" s="2" t="s">
        <v>175</v>
      </c>
      <c r="V129" s="34" t="b">
        <f aca="false">FALSE()</f>
        <v>0</v>
      </c>
      <c r="W129" s="2" t="s">
        <v>138</v>
      </c>
      <c r="X129" s="2" t="s">
        <v>250</v>
      </c>
      <c r="Y129" s="34" t="b">
        <f aca="false">FALSE()</f>
        <v>0</v>
      </c>
      <c r="Z129" s="2" t="s">
        <v>142</v>
      </c>
      <c r="AA129" s="2" t="s">
        <v>256</v>
      </c>
      <c r="AB129" s="34" t="b">
        <f aca="false">FALSE()</f>
        <v>0</v>
      </c>
      <c r="AC129" s="35" t="n">
        <v>5998</v>
      </c>
      <c r="AD129" s="35" t="n">
        <v>5998</v>
      </c>
      <c r="AE129" s="2" t="s">
        <v>242</v>
      </c>
      <c r="AF129" s="35" t="n">
        <v>2999</v>
      </c>
      <c r="AG129" s="34" t="b">
        <f aca="false">FALSE()</f>
        <v>0</v>
      </c>
      <c r="AH129" s="2"/>
    </row>
    <row r="130" customFormat="false" ht="15" hidden="false" customHeight="false" outlineLevel="0" collapsed="false">
      <c r="A130" s="2" t="s">
        <v>443</v>
      </c>
      <c r="B130" s="2" t="s">
        <v>298</v>
      </c>
      <c r="C130" s="2" t="n">
        <v>27</v>
      </c>
      <c r="D130" s="2" t="s">
        <v>148</v>
      </c>
      <c r="E130" s="2" t="s">
        <v>154</v>
      </c>
      <c r="F130" s="2" t="s">
        <v>233</v>
      </c>
      <c r="G130" s="2" t="s">
        <v>114</v>
      </c>
      <c r="H130" s="2" t="s">
        <v>403</v>
      </c>
      <c r="I130" s="2" t="s">
        <v>122</v>
      </c>
      <c r="J130" s="2" t="s">
        <v>134</v>
      </c>
      <c r="K130" s="2" t="s">
        <v>240</v>
      </c>
      <c r="L130" s="33" t="n">
        <v>45122</v>
      </c>
      <c r="M130" s="33" t="n">
        <v>45125</v>
      </c>
      <c r="N130" s="2" t="n">
        <v>3</v>
      </c>
      <c r="O130" s="2" t="s">
        <v>180</v>
      </c>
      <c r="P130" s="34" t="b">
        <f aca="false">FALSE()</f>
        <v>0</v>
      </c>
      <c r="Q130" s="34" t="b">
        <f aca="false">FALSE()</f>
        <v>0</v>
      </c>
      <c r="R130" s="2" t="n">
        <v>7</v>
      </c>
      <c r="S130" s="2" t="s">
        <v>163</v>
      </c>
      <c r="T130" s="2" t="s">
        <v>227</v>
      </c>
      <c r="U130" s="2" t="s">
        <v>171</v>
      </c>
      <c r="V130" s="34" t="b">
        <f aca="false">TRUE()</f>
        <v>1</v>
      </c>
      <c r="W130" s="2" t="s">
        <v>137</v>
      </c>
      <c r="X130" s="2" t="s">
        <v>235</v>
      </c>
      <c r="Y130" s="34" t="b">
        <f aca="false">FALSE()</f>
        <v>0</v>
      </c>
      <c r="Z130" s="2" t="s">
        <v>144</v>
      </c>
      <c r="AA130" s="2" t="s">
        <v>229</v>
      </c>
      <c r="AB130" s="34" t="b">
        <f aca="false">TRUE()</f>
        <v>1</v>
      </c>
      <c r="AC130" s="35"/>
      <c r="AD130" s="35" t="n">
        <v>999</v>
      </c>
      <c r="AE130" s="2" t="s">
        <v>257</v>
      </c>
      <c r="AF130" s="35"/>
      <c r="AG130" s="34" t="b">
        <f aca="false">FALSE()</f>
        <v>0</v>
      </c>
      <c r="AH130" s="2"/>
    </row>
    <row r="131" customFormat="false" ht="15" hidden="false" customHeight="false" outlineLevel="0" collapsed="false">
      <c r="A131" s="2" t="s">
        <v>444</v>
      </c>
      <c r="B131" s="2" t="s">
        <v>398</v>
      </c>
      <c r="C131" s="2" t="n">
        <v>7</v>
      </c>
      <c r="D131" s="2" t="s">
        <v>147</v>
      </c>
      <c r="E131" s="2" t="s">
        <v>154</v>
      </c>
      <c r="F131" s="2" t="s">
        <v>233</v>
      </c>
      <c r="G131" s="2" t="s">
        <v>114</v>
      </c>
      <c r="H131" s="2" t="s">
        <v>403</v>
      </c>
      <c r="I131" s="2" t="s">
        <v>122</v>
      </c>
      <c r="J131" s="2" t="s">
        <v>131</v>
      </c>
      <c r="K131" s="2" t="s">
        <v>263</v>
      </c>
      <c r="L131" s="33" t="n">
        <v>45231</v>
      </c>
      <c r="M131" s="33" t="n">
        <v>45234</v>
      </c>
      <c r="N131" s="2" t="n">
        <v>3</v>
      </c>
      <c r="O131" s="2" t="s">
        <v>180</v>
      </c>
      <c r="P131" s="34" t="b">
        <f aca="false">FALSE()</f>
        <v>0</v>
      </c>
      <c r="Q131" s="34" t="b">
        <f aca="false">FALSE()</f>
        <v>0</v>
      </c>
      <c r="R131" s="2" t="n">
        <v>11</v>
      </c>
      <c r="S131" s="2" t="s">
        <v>167</v>
      </c>
      <c r="T131" s="2" t="s">
        <v>241</v>
      </c>
      <c r="U131" s="2" t="s">
        <v>175</v>
      </c>
      <c r="V131" s="34" t="b">
        <f aca="false">FALSE()</f>
        <v>0</v>
      </c>
      <c r="W131" s="2" t="s">
        <v>138</v>
      </c>
      <c r="X131" s="2" t="s">
        <v>250</v>
      </c>
      <c r="Y131" s="34" t="b">
        <f aca="false">FALSE()</f>
        <v>0</v>
      </c>
      <c r="Z131" s="2" t="s">
        <v>142</v>
      </c>
      <c r="AA131" s="2" t="s">
        <v>256</v>
      </c>
      <c r="AB131" s="34" t="b">
        <f aca="false">FALSE()</f>
        <v>0</v>
      </c>
      <c r="AC131" s="35" t="n">
        <v>2807</v>
      </c>
      <c r="AD131" s="35" t="n">
        <v>2807</v>
      </c>
      <c r="AE131" s="2" t="s">
        <v>242</v>
      </c>
      <c r="AF131" s="35" t="n">
        <v>935.67</v>
      </c>
      <c r="AG131" s="34" t="b">
        <f aca="false">FALSE()</f>
        <v>0</v>
      </c>
      <c r="AH131" s="2" t="s">
        <v>412</v>
      </c>
    </row>
    <row r="132" customFormat="false" ht="15" hidden="false" customHeight="false" outlineLevel="0" collapsed="false">
      <c r="A132" s="2" t="s">
        <v>445</v>
      </c>
      <c r="B132" s="2" t="s">
        <v>325</v>
      </c>
      <c r="C132" s="2" t="n">
        <v>56</v>
      </c>
      <c r="D132" s="2" t="s">
        <v>149</v>
      </c>
      <c r="E132" s="2" t="s">
        <v>153</v>
      </c>
      <c r="F132" s="2" t="s">
        <v>224</v>
      </c>
      <c r="G132" s="2" t="s">
        <v>114</v>
      </c>
      <c r="H132" s="2" t="s">
        <v>403</v>
      </c>
      <c r="I132" s="2" t="s">
        <v>122</v>
      </c>
      <c r="J132" s="2" t="s">
        <v>130</v>
      </c>
      <c r="K132" s="2" t="s">
        <v>245</v>
      </c>
      <c r="L132" s="33" t="n">
        <v>44934</v>
      </c>
      <c r="M132" s="33" t="n">
        <v>44954</v>
      </c>
      <c r="N132" s="2" t="n">
        <v>20</v>
      </c>
      <c r="O132" s="2" t="s">
        <v>183</v>
      </c>
      <c r="P132" s="34" t="b">
        <f aca="false">TRUE()</f>
        <v>1</v>
      </c>
      <c r="Q132" s="34" t="b">
        <f aca="false">TRUE()</f>
        <v>1</v>
      </c>
      <c r="R132" s="2" t="n">
        <v>1</v>
      </c>
      <c r="S132" s="2" t="s">
        <v>157</v>
      </c>
      <c r="T132" s="2" t="s">
        <v>234</v>
      </c>
      <c r="U132" s="2" t="s">
        <v>172</v>
      </c>
      <c r="V132" s="34" t="b">
        <f aca="false">FALSE()</f>
        <v>0</v>
      </c>
      <c r="W132" s="2" t="s">
        <v>137</v>
      </c>
      <c r="X132" s="2" t="s">
        <v>235</v>
      </c>
      <c r="Y132" s="34" t="b">
        <f aca="false">FALSE()</f>
        <v>0</v>
      </c>
      <c r="Z132" s="2" t="s">
        <v>143</v>
      </c>
      <c r="AA132" s="2" t="s">
        <v>236</v>
      </c>
      <c r="AB132" s="34" t="b">
        <f aca="false">FALSE()</f>
        <v>0</v>
      </c>
      <c r="AC132" s="35"/>
      <c r="AD132" s="35" t="n">
        <v>999</v>
      </c>
      <c r="AE132" s="2" t="s">
        <v>257</v>
      </c>
      <c r="AF132" s="35"/>
      <c r="AG132" s="34" t="b">
        <f aca="false">FALSE()</f>
        <v>0</v>
      </c>
      <c r="AH132" s="2"/>
    </row>
    <row r="133" customFormat="false" ht="15" hidden="false" customHeight="false" outlineLevel="0" collapsed="false">
      <c r="A133" s="2" t="s">
        <v>446</v>
      </c>
      <c r="B133" s="2" t="s">
        <v>447</v>
      </c>
      <c r="C133" s="2" t="n">
        <v>50</v>
      </c>
      <c r="D133" s="2" t="s">
        <v>149</v>
      </c>
      <c r="E133" s="2" t="s">
        <v>154</v>
      </c>
      <c r="F133" s="2" t="s">
        <v>233</v>
      </c>
      <c r="G133" s="2" t="s">
        <v>110</v>
      </c>
      <c r="H133" s="2" t="s">
        <v>355</v>
      </c>
      <c r="I133" s="2" t="s">
        <v>124</v>
      </c>
      <c r="J133" s="2" t="s">
        <v>131</v>
      </c>
      <c r="K133" s="2" t="s">
        <v>263</v>
      </c>
      <c r="L133" s="33" t="n">
        <v>45018</v>
      </c>
      <c r="M133" s="33" t="n">
        <v>45022</v>
      </c>
      <c r="N133" s="2" t="n">
        <v>4</v>
      </c>
      <c r="O133" s="2" t="s">
        <v>181</v>
      </c>
      <c r="P133" s="34" t="b">
        <f aca="false">FALSE()</f>
        <v>0</v>
      </c>
      <c r="Q133" s="34" t="b">
        <f aca="false">FALSE()</f>
        <v>0</v>
      </c>
      <c r="R133" s="2" t="n">
        <v>4</v>
      </c>
      <c r="S133" s="2" t="s">
        <v>160</v>
      </c>
      <c r="T133" s="2" t="s">
        <v>246</v>
      </c>
      <c r="U133" s="2" t="s">
        <v>172</v>
      </c>
      <c r="V133" s="34" t="b">
        <f aca="false">FALSE()</f>
        <v>0</v>
      </c>
      <c r="W133" s="2" t="s">
        <v>137</v>
      </c>
      <c r="X133" s="2" t="s">
        <v>235</v>
      </c>
      <c r="Y133" s="34" t="b">
        <f aca="false">FALSE()</f>
        <v>0</v>
      </c>
      <c r="Z133" s="2" t="s">
        <v>144</v>
      </c>
      <c r="AA133" s="2" t="s">
        <v>229</v>
      </c>
      <c r="AB133" s="34" t="b">
        <f aca="false">TRUE()</f>
        <v>1</v>
      </c>
      <c r="AC133" s="35"/>
      <c r="AD133" s="35" t="n">
        <v>999</v>
      </c>
      <c r="AE133" s="2" t="s">
        <v>257</v>
      </c>
      <c r="AF133" s="35"/>
      <c r="AG133" s="34" t="b">
        <f aca="false">TRUE()</f>
        <v>1</v>
      </c>
      <c r="AH133" s="2"/>
    </row>
    <row r="134" customFormat="false" ht="15" hidden="false" customHeight="false" outlineLevel="0" collapsed="false">
      <c r="A134" s="2" t="s">
        <v>448</v>
      </c>
      <c r="B134" s="2" t="s">
        <v>238</v>
      </c>
      <c r="C134" s="2" t="n">
        <v>44</v>
      </c>
      <c r="D134" s="2" t="s">
        <v>149</v>
      </c>
      <c r="E134" s="2" t="s">
        <v>153</v>
      </c>
      <c r="F134" s="2" t="s">
        <v>224</v>
      </c>
      <c r="G134" s="2" t="s">
        <v>110</v>
      </c>
      <c r="H134" s="2" t="s">
        <v>355</v>
      </c>
      <c r="I134" s="2" t="s">
        <v>124</v>
      </c>
      <c r="J134" s="2" t="s">
        <v>133</v>
      </c>
      <c r="K134" s="2" t="s">
        <v>255</v>
      </c>
      <c r="L134" s="33" t="n">
        <v>44978</v>
      </c>
      <c r="M134" s="33" t="n">
        <v>44980</v>
      </c>
      <c r="N134" s="2" t="n">
        <v>2</v>
      </c>
      <c r="O134" s="2" t="s">
        <v>180</v>
      </c>
      <c r="P134" s="34" t="b">
        <f aca="false">FALSE()</f>
        <v>0</v>
      </c>
      <c r="Q134" s="34" t="b">
        <f aca="false">FALSE()</f>
        <v>0</v>
      </c>
      <c r="R134" s="2" t="n">
        <v>2</v>
      </c>
      <c r="S134" s="2" t="s">
        <v>158</v>
      </c>
      <c r="T134" s="2" t="s">
        <v>234</v>
      </c>
      <c r="U134" s="2" t="s">
        <v>174</v>
      </c>
      <c r="V134" s="34" t="b">
        <f aca="false">FALSE()</f>
        <v>0</v>
      </c>
      <c r="W134" s="2" t="s">
        <v>137</v>
      </c>
      <c r="X134" s="2" t="s">
        <v>235</v>
      </c>
      <c r="Y134" s="34" t="b">
        <f aca="false">FALSE()</f>
        <v>0</v>
      </c>
      <c r="Z134" s="2" t="s">
        <v>144</v>
      </c>
      <c r="AA134" s="2" t="s">
        <v>229</v>
      </c>
      <c r="AB134" s="34" t="b">
        <f aca="false">TRUE()</f>
        <v>1</v>
      </c>
      <c r="AC134" s="35"/>
      <c r="AD134" s="35" t="n">
        <v>999</v>
      </c>
      <c r="AE134" s="2" t="s">
        <v>257</v>
      </c>
      <c r="AF134" s="35"/>
      <c r="AG134" s="34" t="b">
        <f aca="false">TRUE()</f>
        <v>1</v>
      </c>
      <c r="AH134" s="2"/>
    </row>
    <row r="135" customFormat="false" ht="15" hidden="false" customHeight="false" outlineLevel="0" collapsed="false">
      <c r="A135" s="2" t="s">
        <v>449</v>
      </c>
      <c r="B135" s="2" t="s">
        <v>323</v>
      </c>
      <c r="C135" s="2" t="n">
        <v>55</v>
      </c>
      <c r="D135" s="2" t="s">
        <v>149</v>
      </c>
      <c r="E135" s="2" t="s">
        <v>153</v>
      </c>
      <c r="F135" s="2" t="s">
        <v>224</v>
      </c>
      <c r="G135" s="2" t="s">
        <v>110</v>
      </c>
      <c r="H135" s="2" t="s">
        <v>355</v>
      </c>
      <c r="I135" s="2" t="s">
        <v>124</v>
      </c>
      <c r="J135" s="2" t="s">
        <v>130</v>
      </c>
      <c r="K135" s="2" t="s">
        <v>245</v>
      </c>
      <c r="L135" s="33" t="n">
        <v>45043</v>
      </c>
      <c r="M135" s="33" t="n">
        <v>45048</v>
      </c>
      <c r="N135" s="2" t="n">
        <v>5</v>
      </c>
      <c r="O135" s="2" t="s">
        <v>181</v>
      </c>
      <c r="P135" s="34" t="b">
        <f aca="false">FALSE()</f>
        <v>0</v>
      </c>
      <c r="Q135" s="34" t="b">
        <f aca="false">FALSE()</f>
        <v>0</v>
      </c>
      <c r="R135" s="2" t="n">
        <v>4</v>
      </c>
      <c r="S135" s="2" t="s">
        <v>160</v>
      </c>
      <c r="T135" s="2" t="s">
        <v>246</v>
      </c>
      <c r="U135" s="2" t="s">
        <v>176</v>
      </c>
      <c r="V135" s="34" t="b">
        <f aca="false">FALSE()</f>
        <v>0</v>
      </c>
      <c r="W135" s="2" t="s">
        <v>138</v>
      </c>
      <c r="X135" s="2" t="s">
        <v>250</v>
      </c>
      <c r="Y135" s="34" t="b">
        <f aca="false">FALSE()</f>
        <v>0</v>
      </c>
      <c r="Z135" s="2" t="s">
        <v>143</v>
      </c>
      <c r="AA135" s="2" t="s">
        <v>236</v>
      </c>
      <c r="AB135" s="34" t="b">
        <f aca="false">FALSE()</f>
        <v>0</v>
      </c>
      <c r="AC135" s="35" t="n">
        <v>2214</v>
      </c>
      <c r="AD135" s="35" t="n">
        <v>2214</v>
      </c>
      <c r="AE135" s="2" t="s">
        <v>242</v>
      </c>
      <c r="AF135" s="35" t="n">
        <v>442.8</v>
      </c>
      <c r="AG135" s="34" t="b">
        <f aca="false">FALSE()</f>
        <v>0</v>
      </c>
      <c r="AH135" s="2"/>
    </row>
    <row r="136" customFormat="false" ht="15" hidden="false" customHeight="false" outlineLevel="0" collapsed="false">
      <c r="A136" s="2" t="s">
        <v>450</v>
      </c>
      <c r="B136" s="2" t="s">
        <v>372</v>
      </c>
      <c r="C136" s="2" t="n">
        <v>22</v>
      </c>
      <c r="D136" s="2" t="s">
        <v>148</v>
      </c>
      <c r="E136" s="2" t="s">
        <v>154</v>
      </c>
      <c r="F136" s="2" t="s">
        <v>233</v>
      </c>
      <c r="G136" s="2" t="s">
        <v>110</v>
      </c>
      <c r="H136" s="2" t="s">
        <v>355</v>
      </c>
      <c r="I136" s="2" t="s">
        <v>124</v>
      </c>
      <c r="J136" s="2" t="s">
        <v>131</v>
      </c>
      <c r="K136" s="2" t="s">
        <v>263</v>
      </c>
      <c r="L136" s="33" t="n">
        <v>44927</v>
      </c>
      <c r="M136" s="33" t="n">
        <v>44931</v>
      </c>
      <c r="N136" s="2" t="n">
        <v>4</v>
      </c>
      <c r="O136" s="2" t="s">
        <v>181</v>
      </c>
      <c r="P136" s="34" t="b">
        <f aca="false">FALSE()</f>
        <v>0</v>
      </c>
      <c r="Q136" s="34" t="b">
        <f aca="false">FALSE()</f>
        <v>0</v>
      </c>
      <c r="R136" s="2" t="n">
        <v>1</v>
      </c>
      <c r="S136" s="2" t="s">
        <v>157</v>
      </c>
      <c r="T136" s="2" t="s">
        <v>234</v>
      </c>
      <c r="U136" s="2" t="s">
        <v>172</v>
      </c>
      <c r="V136" s="34" t="b">
        <f aca="false">FALSE()</f>
        <v>0</v>
      </c>
      <c r="W136" s="2" t="s">
        <v>138</v>
      </c>
      <c r="X136" s="2" t="s">
        <v>250</v>
      </c>
      <c r="Y136" s="34" t="b">
        <f aca="false">FALSE()</f>
        <v>0</v>
      </c>
      <c r="Z136" s="2" t="s">
        <v>142</v>
      </c>
      <c r="AA136" s="2" t="s">
        <v>256</v>
      </c>
      <c r="AB136" s="34" t="b">
        <f aca="false">FALSE()</f>
        <v>0</v>
      </c>
      <c r="AC136" s="35" t="n">
        <v>5339</v>
      </c>
      <c r="AD136" s="35" t="n">
        <v>5339</v>
      </c>
      <c r="AE136" s="2" t="s">
        <v>242</v>
      </c>
      <c r="AF136" s="35" t="n">
        <v>1334.75</v>
      </c>
      <c r="AG136" s="34" t="b">
        <f aca="false">FALSE()</f>
        <v>0</v>
      </c>
      <c r="AH136" s="2"/>
    </row>
    <row r="137" customFormat="false" ht="15" hidden="false" customHeight="false" outlineLevel="0" collapsed="false">
      <c r="A137" s="2" t="s">
        <v>451</v>
      </c>
      <c r="B137" s="2" t="s">
        <v>259</v>
      </c>
      <c r="C137" s="2" t="n">
        <v>24</v>
      </c>
      <c r="D137" s="2" t="s">
        <v>148</v>
      </c>
      <c r="E137" s="2" t="s">
        <v>154</v>
      </c>
      <c r="F137" s="2" t="s">
        <v>233</v>
      </c>
      <c r="G137" s="2" t="s">
        <v>110</v>
      </c>
      <c r="H137" s="2" t="s">
        <v>355</v>
      </c>
      <c r="I137" s="2" t="s">
        <v>124</v>
      </c>
      <c r="J137" s="2" t="s">
        <v>132</v>
      </c>
      <c r="K137" s="2" t="s">
        <v>249</v>
      </c>
      <c r="L137" s="33" t="n">
        <v>45093</v>
      </c>
      <c r="M137" s="33" t="n">
        <v>45100</v>
      </c>
      <c r="N137" s="2" t="n">
        <v>7</v>
      </c>
      <c r="O137" s="2" t="s">
        <v>181</v>
      </c>
      <c r="P137" s="34" t="b">
        <f aca="false">FALSE()</f>
        <v>0</v>
      </c>
      <c r="Q137" s="34" t="b">
        <f aca="false">FALSE()</f>
        <v>0</v>
      </c>
      <c r="R137" s="2" t="n">
        <v>6</v>
      </c>
      <c r="S137" s="2" t="s">
        <v>162</v>
      </c>
      <c r="T137" s="2" t="s">
        <v>246</v>
      </c>
      <c r="U137" s="2" t="s">
        <v>177</v>
      </c>
      <c r="V137" s="34" t="b">
        <f aca="false">TRUE()</f>
        <v>1</v>
      </c>
      <c r="W137" s="2" t="s">
        <v>137</v>
      </c>
      <c r="X137" s="2" t="s">
        <v>235</v>
      </c>
      <c r="Y137" s="34" t="b">
        <f aca="false">FALSE()</f>
        <v>0</v>
      </c>
      <c r="Z137" s="2" t="s">
        <v>143</v>
      </c>
      <c r="AA137" s="2" t="s">
        <v>236</v>
      </c>
      <c r="AB137" s="34" t="b">
        <f aca="false">FALSE()</f>
        <v>0</v>
      </c>
      <c r="AC137" s="35"/>
      <c r="AD137" s="35" t="n">
        <v>3852</v>
      </c>
      <c r="AE137" s="2" t="s">
        <v>230</v>
      </c>
      <c r="AF137" s="35"/>
      <c r="AG137" s="34" t="b">
        <f aca="false">FALSE()</f>
        <v>0</v>
      </c>
      <c r="AH137" s="2"/>
    </row>
    <row r="138" customFormat="false" ht="15" hidden="false" customHeight="false" outlineLevel="0" collapsed="false">
      <c r="A138" s="2" t="s">
        <v>452</v>
      </c>
      <c r="B138" s="2" t="s">
        <v>223</v>
      </c>
      <c r="C138" s="2" t="n">
        <v>10</v>
      </c>
      <c r="D138" s="2" t="s">
        <v>147</v>
      </c>
      <c r="E138" s="2" t="s">
        <v>154</v>
      </c>
      <c r="F138" s="2" t="s">
        <v>233</v>
      </c>
      <c r="G138" s="2" t="s">
        <v>110</v>
      </c>
      <c r="H138" s="2" t="s">
        <v>355</v>
      </c>
      <c r="I138" s="2" t="s">
        <v>124</v>
      </c>
      <c r="J138" s="2" t="s">
        <v>131</v>
      </c>
      <c r="K138" s="2" t="s">
        <v>263</v>
      </c>
      <c r="L138" s="33" t="n">
        <v>45107</v>
      </c>
      <c r="M138" s="33" t="n">
        <v>45109</v>
      </c>
      <c r="N138" s="2" t="n">
        <v>2</v>
      </c>
      <c r="O138" s="2" t="s">
        <v>180</v>
      </c>
      <c r="P138" s="34" t="b">
        <f aca="false">FALSE()</f>
        <v>0</v>
      </c>
      <c r="Q138" s="34" t="b">
        <f aca="false">FALSE()</f>
        <v>0</v>
      </c>
      <c r="R138" s="2" t="n">
        <v>6</v>
      </c>
      <c r="S138" s="2" t="s">
        <v>162</v>
      </c>
      <c r="T138" s="2" t="s">
        <v>246</v>
      </c>
      <c r="U138" s="2" t="s">
        <v>177</v>
      </c>
      <c r="V138" s="34" t="b">
        <f aca="false">TRUE()</f>
        <v>1</v>
      </c>
      <c r="W138" s="2" t="s">
        <v>138</v>
      </c>
      <c r="X138" s="2" t="s">
        <v>250</v>
      </c>
      <c r="Y138" s="34" t="b">
        <f aca="false">FALSE()</f>
        <v>0</v>
      </c>
      <c r="Z138" s="2" t="s">
        <v>142</v>
      </c>
      <c r="AA138" s="2" t="s">
        <v>256</v>
      </c>
      <c r="AB138" s="34" t="b">
        <f aca="false">FALSE()</f>
        <v>0</v>
      </c>
      <c r="AC138" s="35"/>
      <c r="AD138" s="35" t="n">
        <v>999</v>
      </c>
      <c r="AE138" s="2" t="s">
        <v>257</v>
      </c>
      <c r="AF138" s="35"/>
      <c r="AG138" s="34" t="b">
        <f aca="false">TRUE()</f>
        <v>1</v>
      </c>
      <c r="AH138" s="2"/>
    </row>
    <row r="139" customFormat="false" ht="15" hidden="false" customHeight="false" outlineLevel="0" collapsed="false">
      <c r="A139" s="2" t="s">
        <v>453</v>
      </c>
      <c r="B139" s="2" t="s">
        <v>454</v>
      </c>
      <c r="C139" s="2" t="n">
        <v>27</v>
      </c>
      <c r="D139" s="2" t="s">
        <v>148</v>
      </c>
      <c r="E139" s="2" t="s">
        <v>154</v>
      </c>
      <c r="F139" s="2" t="s">
        <v>233</v>
      </c>
      <c r="G139" s="2" t="s">
        <v>110</v>
      </c>
      <c r="H139" s="2" t="s">
        <v>355</v>
      </c>
      <c r="I139" s="2" t="s">
        <v>124</v>
      </c>
      <c r="J139" s="2" t="s">
        <v>128</v>
      </c>
      <c r="K139" s="2" t="s">
        <v>226</v>
      </c>
      <c r="L139" s="33" t="n">
        <v>45057</v>
      </c>
      <c r="M139" s="33" t="n">
        <v>45063</v>
      </c>
      <c r="N139" s="2" t="n">
        <v>6</v>
      </c>
      <c r="O139" s="2" t="s">
        <v>181</v>
      </c>
      <c r="P139" s="34" t="b">
        <f aca="false">FALSE()</f>
        <v>0</v>
      </c>
      <c r="Q139" s="34" t="b">
        <f aca="false">FALSE()</f>
        <v>0</v>
      </c>
      <c r="R139" s="2" t="n">
        <v>5</v>
      </c>
      <c r="S139" s="2" t="s">
        <v>161</v>
      </c>
      <c r="T139" s="2" t="s">
        <v>246</v>
      </c>
      <c r="U139" s="2" t="s">
        <v>176</v>
      </c>
      <c r="V139" s="34" t="b">
        <f aca="false">FALSE()</f>
        <v>0</v>
      </c>
      <c r="W139" s="2" t="s">
        <v>138</v>
      </c>
      <c r="X139" s="2" t="s">
        <v>250</v>
      </c>
      <c r="Y139" s="34" t="b">
        <f aca="false">FALSE()</f>
        <v>0</v>
      </c>
      <c r="Z139" s="2" t="s">
        <v>142</v>
      </c>
      <c r="AA139" s="2" t="s">
        <v>256</v>
      </c>
      <c r="AB139" s="34" t="b">
        <f aca="false">FALSE()</f>
        <v>0</v>
      </c>
      <c r="AC139" s="35"/>
      <c r="AD139" s="35" t="n">
        <v>999</v>
      </c>
      <c r="AE139" s="2" t="s">
        <v>257</v>
      </c>
      <c r="AF139" s="35"/>
      <c r="AG139" s="34" t="b">
        <f aca="false">FALSE()</f>
        <v>0</v>
      </c>
      <c r="AH139" s="2"/>
    </row>
    <row r="140" customFormat="false" ht="15" hidden="false" customHeight="false" outlineLevel="0" collapsed="false">
      <c r="A140" s="2" t="s">
        <v>455</v>
      </c>
      <c r="B140" s="2" t="s">
        <v>298</v>
      </c>
      <c r="C140" s="2" t="n">
        <v>56</v>
      </c>
      <c r="D140" s="2" t="s">
        <v>149</v>
      </c>
      <c r="E140" s="2" t="s">
        <v>153</v>
      </c>
      <c r="F140" s="2" t="s">
        <v>224</v>
      </c>
      <c r="G140" s="2" t="s">
        <v>110</v>
      </c>
      <c r="H140" s="2" t="s">
        <v>355</v>
      </c>
      <c r="I140" s="2" t="s">
        <v>124</v>
      </c>
      <c r="J140" s="2" t="s">
        <v>133</v>
      </c>
      <c r="K140" s="2" t="s">
        <v>255</v>
      </c>
      <c r="L140" s="33" t="n">
        <v>45180</v>
      </c>
      <c r="M140" s="33" t="n">
        <v>45183</v>
      </c>
      <c r="N140" s="2" t="n">
        <v>3</v>
      </c>
      <c r="O140" s="2" t="s">
        <v>180</v>
      </c>
      <c r="P140" s="34" t="b">
        <f aca="false">FALSE()</f>
        <v>0</v>
      </c>
      <c r="Q140" s="34" t="b">
        <f aca="false">FALSE()</f>
        <v>0</v>
      </c>
      <c r="R140" s="2" t="n">
        <v>9</v>
      </c>
      <c r="S140" s="2" t="s">
        <v>165</v>
      </c>
      <c r="T140" s="2" t="s">
        <v>227</v>
      </c>
      <c r="U140" s="2" t="s">
        <v>173</v>
      </c>
      <c r="V140" s="34" t="b">
        <f aca="false">FALSE()</f>
        <v>0</v>
      </c>
      <c r="W140" s="2" t="s">
        <v>138</v>
      </c>
      <c r="X140" s="2" t="s">
        <v>250</v>
      </c>
      <c r="Y140" s="34" t="b">
        <f aca="false">FALSE()</f>
        <v>0</v>
      </c>
      <c r="Z140" s="2" t="s">
        <v>142</v>
      </c>
      <c r="AA140" s="2" t="s">
        <v>256</v>
      </c>
      <c r="AB140" s="34" t="b">
        <f aca="false">FALSE()</f>
        <v>0</v>
      </c>
      <c r="AC140" s="35" t="n">
        <v>936</v>
      </c>
      <c r="AD140" s="35" t="n">
        <v>936</v>
      </c>
      <c r="AE140" s="2" t="s">
        <v>242</v>
      </c>
      <c r="AF140" s="35" t="n">
        <v>312</v>
      </c>
      <c r="AG140" s="34" t="b">
        <f aca="false">FALSE()</f>
        <v>0</v>
      </c>
      <c r="AH140" s="2"/>
    </row>
    <row r="141" customFormat="false" ht="15" hidden="false" customHeight="false" outlineLevel="0" collapsed="false">
      <c r="A141" s="2" t="s">
        <v>456</v>
      </c>
      <c r="B141" s="2" t="s">
        <v>354</v>
      </c>
      <c r="C141" s="2" t="n">
        <v>5</v>
      </c>
      <c r="D141" s="2" t="s">
        <v>147</v>
      </c>
      <c r="E141" s="2" t="s">
        <v>153</v>
      </c>
      <c r="F141" s="2" t="s">
        <v>224</v>
      </c>
      <c r="G141" s="2" t="s">
        <v>116</v>
      </c>
      <c r="H141" s="2" t="s">
        <v>457</v>
      </c>
      <c r="I141" s="2" t="s">
        <v>125</v>
      </c>
      <c r="J141" s="2" t="s">
        <v>132</v>
      </c>
      <c r="K141" s="2" t="s">
        <v>249</v>
      </c>
      <c r="L141" s="33" t="n">
        <v>45073</v>
      </c>
      <c r="M141" s="33" t="n">
        <v>45076</v>
      </c>
      <c r="N141" s="2" t="n">
        <v>3</v>
      </c>
      <c r="O141" s="2" t="s">
        <v>180</v>
      </c>
      <c r="P141" s="34" t="b">
        <f aca="false">FALSE()</f>
        <v>0</v>
      </c>
      <c r="Q141" s="34" t="b">
        <f aca="false">FALSE()</f>
        <v>0</v>
      </c>
      <c r="R141" s="2" t="n">
        <v>5</v>
      </c>
      <c r="S141" s="2" t="s">
        <v>161</v>
      </c>
      <c r="T141" s="2" t="s">
        <v>246</v>
      </c>
      <c r="U141" s="2" t="s">
        <v>171</v>
      </c>
      <c r="V141" s="34" t="b">
        <f aca="false">TRUE()</f>
        <v>1</v>
      </c>
      <c r="W141" s="2" t="s">
        <v>138</v>
      </c>
      <c r="X141" s="2" t="s">
        <v>250</v>
      </c>
      <c r="Y141" s="34" t="b">
        <f aca="false">FALSE()</f>
        <v>0</v>
      </c>
      <c r="Z141" s="2" t="s">
        <v>142</v>
      </c>
      <c r="AA141" s="2" t="s">
        <v>256</v>
      </c>
      <c r="AB141" s="34" t="b">
        <f aca="false">FALSE()</f>
        <v>0</v>
      </c>
      <c r="AC141" s="35"/>
      <c r="AD141" s="35" t="n">
        <v>3852</v>
      </c>
      <c r="AE141" s="2" t="s">
        <v>230</v>
      </c>
      <c r="AF141" s="35"/>
      <c r="AG141" s="34" t="b">
        <f aca="false">FALSE()</f>
        <v>0</v>
      </c>
      <c r="AH141" s="2"/>
    </row>
    <row r="142" customFormat="false" ht="15" hidden="false" customHeight="false" outlineLevel="0" collapsed="false">
      <c r="A142" s="2" t="s">
        <v>458</v>
      </c>
      <c r="B142" s="2" t="s">
        <v>307</v>
      </c>
      <c r="C142" s="2" t="n">
        <v>50</v>
      </c>
      <c r="D142" s="2" t="s">
        <v>149</v>
      </c>
      <c r="E142" s="2" t="s">
        <v>153</v>
      </c>
      <c r="F142" s="2" t="s">
        <v>224</v>
      </c>
      <c r="G142" s="2" t="s">
        <v>116</v>
      </c>
      <c r="H142" s="2" t="s">
        <v>457</v>
      </c>
      <c r="I142" s="2" t="s">
        <v>125</v>
      </c>
      <c r="J142" s="2" t="s">
        <v>128</v>
      </c>
      <c r="K142" s="2" t="s">
        <v>226</v>
      </c>
      <c r="L142" s="33" t="n">
        <v>45208</v>
      </c>
      <c r="M142" s="33" t="n">
        <v>45214</v>
      </c>
      <c r="N142" s="2" t="n">
        <v>6</v>
      </c>
      <c r="O142" s="2" t="s">
        <v>181</v>
      </c>
      <c r="P142" s="34" t="b">
        <f aca="false">FALSE()</f>
        <v>0</v>
      </c>
      <c r="Q142" s="34" t="b">
        <f aca="false">FALSE()</f>
        <v>0</v>
      </c>
      <c r="R142" s="2" t="n">
        <v>10</v>
      </c>
      <c r="S142" s="2" t="s">
        <v>166</v>
      </c>
      <c r="T142" s="2" t="s">
        <v>241</v>
      </c>
      <c r="U142" s="2" t="s">
        <v>173</v>
      </c>
      <c r="V142" s="34" t="b">
        <f aca="false">FALSE()</f>
        <v>0</v>
      </c>
      <c r="W142" s="2" t="s">
        <v>137</v>
      </c>
      <c r="X142" s="2" t="s">
        <v>235</v>
      </c>
      <c r="Y142" s="34" t="b">
        <f aca="false">FALSE()</f>
        <v>0</v>
      </c>
      <c r="Z142" s="2" t="s">
        <v>142</v>
      </c>
      <c r="AA142" s="2" t="s">
        <v>256</v>
      </c>
      <c r="AB142" s="34" t="b">
        <f aca="false">FALSE()</f>
        <v>0</v>
      </c>
      <c r="AC142" s="35"/>
      <c r="AD142" s="35" t="n">
        <v>999</v>
      </c>
      <c r="AE142" s="2" t="s">
        <v>257</v>
      </c>
      <c r="AF142" s="35"/>
      <c r="AG142" s="34" t="b">
        <f aca="false">FALSE()</f>
        <v>0</v>
      </c>
      <c r="AH142" s="2"/>
    </row>
    <row r="143" customFormat="false" ht="15" hidden="false" customHeight="false" outlineLevel="0" collapsed="false">
      <c r="A143" s="2" t="s">
        <v>459</v>
      </c>
      <c r="B143" s="2" t="s">
        <v>460</v>
      </c>
      <c r="C143" s="2" t="n">
        <v>56</v>
      </c>
      <c r="D143" s="2" t="s">
        <v>149</v>
      </c>
      <c r="E143" s="2" t="s">
        <v>154</v>
      </c>
      <c r="F143" s="2" t="s">
        <v>233</v>
      </c>
      <c r="G143" s="2" t="s">
        <v>116</v>
      </c>
      <c r="H143" s="2" t="s">
        <v>457</v>
      </c>
      <c r="I143" s="2" t="s">
        <v>125</v>
      </c>
      <c r="J143" s="2" t="s">
        <v>131</v>
      </c>
      <c r="K143" s="2" t="s">
        <v>263</v>
      </c>
      <c r="L143" s="33" t="n">
        <v>44931</v>
      </c>
      <c r="M143" s="33" t="n">
        <v>44937</v>
      </c>
      <c r="N143" s="2" t="n">
        <v>6</v>
      </c>
      <c r="O143" s="2" t="s">
        <v>181</v>
      </c>
      <c r="P143" s="34" t="b">
        <f aca="false">FALSE()</f>
        <v>0</v>
      </c>
      <c r="Q143" s="34" t="b">
        <f aca="false">FALSE()</f>
        <v>0</v>
      </c>
      <c r="R143" s="2" t="n">
        <v>1</v>
      </c>
      <c r="S143" s="2" t="s">
        <v>157</v>
      </c>
      <c r="T143" s="2" t="s">
        <v>234</v>
      </c>
      <c r="U143" s="2" t="s">
        <v>176</v>
      </c>
      <c r="V143" s="34" t="b">
        <f aca="false">FALSE()</f>
        <v>0</v>
      </c>
      <c r="W143" s="2" t="s">
        <v>139</v>
      </c>
      <c r="X143" s="2" t="s">
        <v>228</v>
      </c>
      <c r="Y143" s="34" t="b">
        <f aca="false">TRUE()</f>
        <v>1</v>
      </c>
      <c r="Z143" s="2" t="s">
        <v>142</v>
      </c>
      <c r="AA143" s="2" t="s">
        <v>256</v>
      </c>
      <c r="AB143" s="34" t="b">
        <f aca="false">FALSE()</f>
        <v>0</v>
      </c>
      <c r="AC143" s="35"/>
      <c r="AD143" s="35" t="n">
        <v>3852</v>
      </c>
      <c r="AE143" s="2" t="s">
        <v>230</v>
      </c>
      <c r="AF143" s="35"/>
      <c r="AG143" s="34" t="b">
        <f aca="false">FALSE()</f>
        <v>0</v>
      </c>
      <c r="AH143" s="2"/>
    </row>
    <row r="144" customFormat="false" ht="15" hidden="false" customHeight="false" outlineLevel="0" collapsed="false">
      <c r="A144" s="2" t="s">
        <v>461</v>
      </c>
      <c r="B144" s="2" t="s">
        <v>317</v>
      </c>
      <c r="C144" s="2" t="n">
        <v>73</v>
      </c>
      <c r="D144" s="2" t="s">
        <v>150</v>
      </c>
      <c r="E144" s="2" t="s">
        <v>154</v>
      </c>
      <c r="F144" s="2" t="s">
        <v>233</v>
      </c>
      <c r="G144" s="2" t="s">
        <v>116</v>
      </c>
      <c r="H144" s="2" t="s">
        <v>457</v>
      </c>
      <c r="I144" s="2" t="s">
        <v>125</v>
      </c>
      <c r="J144" s="2" t="s">
        <v>128</v>
      </c>
      <c r="K144" s="2" t="s">
        <v>226</v>
      </c>
      <c r="L144" s="33" t="n">
        <v>45128</v>
      </c>
      <c r="M144" s="33" t="n">
        <v>45156</v>
      </c>
      <c r="N144" s="2" t="n">
        <v>28</v>
      </c>
      <c r="O144" s="2" t="s">
        <v>183</v>
      </c>
      <c r="P144" s="34" t="b">
        <f aca="false">TRUE()</f>
        <v>1</v>
      </c>
      <c r="Q144" s="34" t="b">
        <f aca="false">TRUE()</f>
        <v>1</v>
      </c>
      <c r="R144" s="2" t="n">
        <v>7</v>
      </c>
      <c r="S144" s="2" t="s">
        <v>163</v>
      </c>
      <c r="T144" s="2" t="s">
        <v>227</v>
      </c>
      <c r="U144" s="2" t="s">
        <v>177</v>
      </c>
      <c r="V144" s="34" t="b">
        <f aca="false">TRUE()</f>
        <v>1</v>
      </c>
      <c r="W144" s="2" t="s">
        <v>138</v>
      </c>
      <c r="X144" s="2" t="s">
        <v>250</v>
      </c>
      <c r="Y144" s="34" t="b">
        <f aca="false">FALSE()</f>
        <v>0</v>
      </c>
      <c r="Z144" s="2" t="s">
        <v>143</v>
      </c>
      <c r="AA144" s="2" t="s">
        <v>236</v>
      </c>
      <c r="AB144" s="34" t="b">
        <f aca="false">FALSE()</f>
        <v>0</v>
      </c>
      <c r="AC144" s="35"/>
      <c r="AD144" s="35" t="n">
        <v>999</v>
      </c>
      <c r="AE144" s="2" t="s">
        <v>257</v>
      </c>
      <c r="AF144" s="35"/>
      <c r="AG144" s="34" t="b">
        <f aca="false">FALSE()</f>
        <v>0</v>
      </c>
      <c r="AH144" s="2" t="s">
        <v>283</v>
      </c>
    </row>
    <row r="145" customFormat="false" ht="15" hidden="false" customHeight="false" outlineLevel="0" collapsed="false">
      <c r="A145" s="2" t="s">
        <v>462</v>
      </c>
      <c r="B145" s="2" t="s">
        <v>441</v>
      </c>
      <c r="C145" s="2" t="n">
        <v>32</v>
      </c>
      <c r="D145" s="2" t="s">
        <v>148</v>
      </c>
      <c r="E145" s="2" t="s">
        <v>154</v>
      </c>
      <c r="F145" s="2" t="s">
        <v>233</v>
      </c>
      <c r="G145" s="2" t="s">
        <v>116</v>
      </c>
      <c r="H145" s="2" t="s">
        <v>457</v>
      </c>
      <c r="I145" s="2" t="s">
        <v>125</v>
      </c>
      <c r="J145" s="2" t="s">
        <v>129</v>
      </c>
      <c r="K145" s="2" t="s">
        <v>260</v>
      </c>
      <c r="L145" s="33" t="n">
        <v>45258</v>
      </c>
      <c r="M145" s="33" t="n">
        <v>45261</v>
      </c>
      <c r="N145" s="2" t="n">
        <v>3</v>
      </c>
      <c r="O145" s="2" t="s">
        <v>180</v>
      </c>
      <c r="P145" s="34" t="b">
        <f aca="false">FALSE()</f>
        <v>0</v>
      </c>
      <c r="Q145" s="34" t="b">
        <f aca="false">FALSE()</f>
        <v>0</v>
      </c>
      <c r="R145" s="2" t="n">
        <v>11</v>
      </c>
      <c r="S145" s="2" t="s">
        <v>167</v>
      </c>
      <c r="T145" s="2" t="s">
        <v>241</v>
      </c>
      <c r="U145" s="2" t="s">
        <v>174</v>
      </c>
      <c r="V145" s="34" t="b">
        <f aca="false">FALSE()</f>
        <v>0</v>
      </c>
      <c r="W145" s="2" t="s">
        <v>138</v>
      </c>
      <c r="X145" s="2" t="s">
        <v>250</v>
      </c>
      <c r="Y145" s="34" t="b">
        <f aca="false">FALSE()</f>
        <v>0</v>
      </c>
      <c r="Z145" s="2" t="s">
        <v>143</v>
      </c>
      <c r="AA145" s="2" t="s">
        <v>236</v>
      </c>
      <c r="AB145" s="34" t="b">
        <f aca="false">FALSE()</f>
        <v>0</v>
      </c>
      <c r="AC145" s="35"/>
      <c r="AD145" s="35" t="n">
        <v>999</v>
      </c>
      <c r="AE145" s="2" t="s">
        <v>257</v>
      </c>
      <c r="AF145" s="35"/>
      <c r="AG145" s="34" t="b">
        <f aca="false">FALSE()</f>
        <v>0</v>
      </c>
      <c r="AH145" s="2"/>
    </row>
    <row r="146" customFormat="false" ht="15" hidden="false" customHeight="false" outlineLevel="0" collapsed="false">
      <c r="A146" s="2" t="s">
        <v>463</v>
      </c>
      <c r="B146" s="2" t="s">
        <v>354</v>
      </c>
      <c r="C146" s="2" t="n">
        <v>86</v>
      </c>
      <c r="D146" s="2" t="s">
        <v>150</v>
      </c>
      <c r="E146" s="2" t="s">
        <v>154</v>
      </c>
      <c r="F146" s="2" t="s">
        <v>233</v>
      </c>
      <c r="G146" s="2" t="s">
        <v>116</v>
      </c>
      <c r="H146" s="2" t="s">
        <v>457</v>
      </c>
      <c r="I146" s="2" t="s">
        <v>125</v>
      </c>
      <c r="J146" s="2" t="s">
        <v>130</v>
      </c>
      <c r="K146" s="2" t="s">
        <v>245</v>
      </c>
      <c r="L146" s="33" t="n">
        <v>45194</v>
      </c>
      <c r="M146" s="33" t="n">
        <v>45196</v>
      </c>
      <c r="N146" s="2" t="n">
        <v>2</v>
      </c>
      <c r="O146" s="2" t="s">
        <v>180</v>
      </c>
      <c r="P146" s="34" t="b">
        <f aca="false">FALSE()</f>
        <v>0</v>
      </c>
      <c r="Q146" s="34" t="b">
        <f aca="false">FALSE()</f>
        <v>0</v>
      </c>
      <c r="R146" s="2" t="n">
        <v>9</v>
      </c>
      <c r="S146" s="2" t="s">
        <v>165</v>
      </c>
      <c r="T146" s="2" t="s">
        <v>227</v>
      </c>
      <c r="U146" s="2" t="s">
        <v>173</v>
      </c>
      <c r="V146" s="34" t="b">
        <f aca="false">FALSE()</f>
        <v>0</v>
      </c>
      <c r="W146" s="2" t="s">
        <v>139</v>
      </c>
      <c r="X146" s="2" t="s">
        <v>228</v>
      </c>
      <c r="Y146" s="34" t="b">
        <f aca="false">TRUE()</f>
        <v>1</v>
      </c>
      <c r="Z146" s="2" t="s">
        <v>144</v>
      </c>
      <c r="AA146" s="2" t="s">
        <v>229</v>
      </c>
      <c r="AB146" s="34" t="b">
        <f aca="false">TRUE()</f>
        <v>1</v>
      </c>
      <c r="AC146" s="35"/>
      <c r="AD146" s="35" t="n">
        <v>999</v>
      </c>
      <c r="AE146" s="2" t="s">
        <v>257</v>
      </c>
      <c r="AF146" s="35"/>
      <c r="AG146" s="34" t="b">
        <f aca="false">TRUE()</f>
        <v>1</v>
      </c>
      <c r="AH146" s="2"/>
    </row>
    <row r="147" customFormat="false" ht="15" hidden="false" customHeight="false" outlineLevel="0" collapsed="false">
      <c r="A147" s="2" t="s">
        <v>464</v>
      </c>
      <c r="B147" s="2" t="s">
        <v>465</v>
      </c>
      <c r="C147" s="2" t="n">
        <v>26</v>
      </c>
      <c r="D147" s="2" t="s">
        <v>148</v>
      </c>
      <c r="E147" s="2" t="s">
        <v>153</v>
      </c>
      <c r="F147" s="2" t="s">
        <v>224</v>
      </c>
      <c r="G147" s="2" t="s">
        <v>116</v>
      </c>
      <c r="H147" s="2" t="s">
        <v>457</v>
      </c>
      <c r="I147" s="2" t="s">
        <v>125</v>
      </c>
      <c r="J147" s="2" t="s">
        <v>133</v>
      </c>
      <c r="K147" s="2" t="s">
        <v>255</v>
      </c>
      <c r="L147" s="33" t="n">
        <v>45172</v>
      </c>
      <c r="M147" s="33" t="n">
        <v>45178</v>
      </c>
      <c r="N147" s="2" t="n">
        <v>6</v>
      </c>
      <c r="O147" s="2" t="s">
        <v>181</v>
      </c>
      <c r="P147" s="34" t="b">
        <f aca="false">FALSE()</f>
        <v>0</v>
      </c>
      <c r="Q147" s="34" t="b">
        <f aca="false">FALSE()</f>
        <v>0</v>
      </c>
      <c r="R147" s="2" t="n">
        <v>9</v>
      </c>
      <c r="S147" s="2" t="s">
        <v>165</v>
      </c>
      <c r="T147" s="2" t="s">
        <v>227</v>
      </c>
      <c r="U147" s="2" t="s">
        <v>172</v>
      </c>
      <c r="V147" s="34" t="b">
        <f aca="false">FALSE()</f>
        <v>0</v>
      </c>
      <c r="W147" s="2" t="s">
        <v>139</v>
      </c>
      <c r="X147" s="2" t="s">
        <v>228</v>
      </c>
      <c r="Y147" s="34" t="b">
        <f aca="false">TRUE()</f>
        <v>1</v>
      </c>
      <c r="Z147" s="2" t="s">
        <v>142</v>
      </c>
      <c r="AA147" s="2" t="s">
        <v>256</v>
      </c>
      <c r="AB147" s="34" t="b">
        <f aca="false">FALSE()</f>
        <v>0</v>
      </c>
      <c r="AC147" s="35"/>
      <c r="AD147" s="35" t="n">
        <v>3852</v>
      </c>
      <c r="AE147" s="2" t="s">
        <v>230</v>
      </c>
      <c r="AF147" s="35"/>
      <c r="AG147" s="34" t="b">
        <f aca="false">FALSE()</f>
        <v>0</v>
      </c>
      <c r="AH147" s="2"/>
    </row>
    <row r="148" customFormat="false" ht="15" hidden="false" customHeight="false" outlineLevel="0" collapsed="false">
      <c r="A148" s="2" t="s">
        <v>466</v>
      </c>
      <c r="B148" s="2" t="s">
        <v>467</v>
      </c>
      <c r="C148" s="2" t="n">
        <v>83</v>
      </c>
      <c r="D148" s="2" t="s">
        <v>150</v>
      </c>
      <c r="E148" s="2" t="s">
        <v>154</v>
      </c>
      <c r="F148" s="2" t="s">
        <v>233</v>
      </c>
      <c r="G148" s="2" t="s">
        <v>118</v>
      </c>
      <c r="H148" s="2" t="s">
        <v>408</v>
      </c>
      <c r="I148" s="2" t="s">
        <v>123</v>
      </c>
      <c r="J148" s="2" t="s">
        <v>128</v>
      </c>
      <c r="K148" s="2" t="s">
        <v>226</v>
      </c>
      <c r="L148" s="33" t="n">
        <v>45224</v>
      </c>
      <c r="M148" s="33" t="n">
        <v>45238</v>
      </c>
      <c r="N148" s="2" t="n">
        <v>14</v>
      </c>
      <c r="O148" s="2" t="s">
        <v>182</v>
      </c>
      <c r="P148" s="34" t="b">
        <f aca="false">TRUE()</f>
        <v>1</v>
      </c>
      <c r="Q148" s="34" t="b">
        <f aca="false">FALSE()</f>
        <v>0</v>
      </c>
      <c r="R148" s="2" t="n">
        <v>10</v>
      </c>
      <c r="S148" s="2" t="s">
        <v>166</v>
      </c>
      <c r="T148" s="2" t="s">
        <v>241</v>
      </c>
      <c r="U148" s="2" t="s">
        <v>175</v>
      </c>
      <c r="V148" s="34" t="b">
        <f aca="false">FALSE()</f>
        <v>0</v>
      </c>
      <c r="W148" s="2" t="s">
        <v>139</v>
      </c>
      <c r="X148" s="2" t="s">
        <v>228</v>
      </c>
      <c r="Y148" s="34" t="b">
        <f aca="false">TRUE()</f>
        <v>1</v>
      </c>
      <c r="Z148" s="2" t="s">
        <v>144</v>
      </c>
      <c r="AA148" s="2" t="s">
        <v>229</v>
      </c>
      <c r="AB148" s="34" t="b">
        <f aca="false">TRUE()</f>
        <v>1</v>
      </c>
      <c r="AC148" s="35"/>
      <c r="AD148" s="35" t="n">
        <v>3852</v>
      </c>
      <c r="AE148" s="2" t="s">
        <v>230</v>
      </c>
      <c r="AF148" s="35"/>
      <c r="AG148" s="34" t="b">
        <f aca="false">FALSE()</f>
        <v>0</v>
      </c>
      <c r="AH148" s="2"/>
    </row>
    <row r="149" customFormat="false" ht="15" hidden="false" customHeight="false" outlineLevel="0" collapsed="false">
      <c r="A149" s="2" t="s">
        <v>468</v>
      </c>
      <c r="B149" s="2" t="s">
        <v>266</v>
      </c>
      <c r="C149" s="2" t="n">
        <v>62</v>
      </c>
      <c r="D149" s="2" t="s">
        <v>150</v>
      </c>
      <c r="E149" s="2" t="s">
        <v>153</v>
      </c>
      <c r="F149" s="2" t="s">
        <v>224</v>
      </c>
      <c r="G149" s="2" t="s">
        <v>118</v>
      </c>
      <c r="H149" s="2" t="s">
        <v>408</v>
      </c>
      <c r="I149" s="2" t="s">
        <v>123</v>
      </c>
      <c r="J149" s="2" t="s">
        <v>130</v>
      </c>
      <c r="K149" s="2" t="s">
        <v>245</v>
      </c>
      <c r="L149" s="33" t="n">
        <v>45273</v>
      </c>
      <c r="M149" s="33" t="n">
        <v>45276</v>
      </c>
      <c r="N149" s="2" t="n">
        <v>3</v>
      </c>
      <c r="O149" s="2" t="s">
        <v>180</v>
      </c>
      <c r="P149" s="34" t="b">
        <f aca="false">FALSE()</f>
        <v>0</v>
      </c>
      <c r="Q149" s="34" t="b">
        <f aca="false">FALSE()</f>
        <v>0</v>
      </c>
      <c r="R149" s="2" t="n">
        <v>12</v>
      </c>
      <c r="S149" s="2" t="s">
        <v>168</v>
      </c>
      <c r="T149" s="2" t="s">
        <v>241</v>
      </c>
      <c r="U149" s="2" t="s">
        <v>175</v>
      </c>
      <c r="V149" s="34" t="b">
        <f aca="false">FALSE()</f>
        <v>0</v>
      </c>
      <c r="W149" s="2" t="s">
        <v>138</v>
      </c>
      <c r="X149" s="2" t="s">
        <v>250</v>
      </c>
      <c r="Y149" s="34" t="b">
        <f aca="false">FALSE()</f>
        <v>0</v>
      </c>
      <c r="Z149" s="2" t="s">
        <v>144</v>
      </c>
      <c r="AA149" s="2" t="s">
        <v>229</v>
      </c>
      <c r="AB149" s="34" t="b">
        <f aca="false">TRUE()</f>
        <v>1</v>
      </c>
      <c r="AC149" s="35"/>
      <c r="AD149" s="35" t="n">
        <v>3852</v>
      </c>
      <c r="AE149" s="2" t="s">
        <v>230</v>
      </c>
      <c r="AF149" s="35"/>
      <c r="AG149" s="34" t="b">
        <f aca="false">FALSE()</f>
        <v>0</v>
      </c>
      <c r="AH149" s="2"/>
    </row>
    <row r="150" customFormat="false" ht="15" hidden="false" customHeight="false" outlineLevel="0" collapsed="false">
      <c r="A150" s="2" t="s">
        <v>469</v>
      </c>
      <c r="B150" s="2" t="s">
        <v>352</v>
      </c>
      <c r="C150" s="2" t="n">
        <v>59</v>
      </c>
      <c r="D150" s="2" t="s">
        <v>149</v>
      </c>
      <c r="E150" s="2" t="s">
        <v>154</v>
      </c>
      <c r="F150" s="2" t="s">
        <v>233</v>
      </c>
      <c r="G150" s="2" t="s">
        <v>118</v>
      </c>
      <c r="H150" s="2" t="s">
        <v>408</v>
      </c>
      <c r="I150" s="2" t="s">
        <v>123</v>
      </c>
      <c r="J150" s="2" t="s">
        <v>129</v>
      </c>
      <c r="K150" s="2" t="s">
        <v>260</v>
      </c>
      <c r="L150" s="33" t="n">
        <v>45025</v>
      </c>
      <c r="M150" s="33" t="n">
        <v>45028</v>
      </c>
      <c r="N150" s="2" t="n">
        <v>3</v>
      </c>
      <c r="O150" s="2" t="s">
        <v>180</v>
      </c>
      <c r="P150" s="34" t="b">
        <f aca="false">FALSE()</f>
        <v>0</v>
      </c>
      <c r="Q150" s="34" t="b">
        <f aca="false">FALSE()</f>
        <v>0</v>
      </c>
      <c r="R150" s="2" t="n">
        <v>4</v>
      </c>
      <c r="S150" s="2" t="s">
        <v>160</v>
      </c>
      <c r="T150" s="2" t="s">
        <v>246</v>
      </c>
      <c r="U150" s="2" t="s">
        <v>172</v>
      </c>
      <c r="V150" s="34" t="b">
        <f aca="false">FALSE()</f>
        <v>0</v>
      </c>
      <c r="W150" s="2" t="s">
        <v>137</v>
      </c>
      <c r="X150" s="2" t="s">
        <v>235</v>
      </c>
      <c r="Y150" s="34" t="b">
        <f aca="false">FALSE()</f>
        <v>0</v>
      </c>
      <c r="Z150" s="2" t="s">
        <v>144</v>
      </c>
      <c r="AA150" s="2" t="s">
        <v>229</v>
      </c>
      <c r="AB150" s="34" t="b">
        <f aca="false">TRUE()</f>
        <v>1</v>
      </c>
      <c r="AC150" s="35" t="n">
        <v>1086</v>
      </c>
      <c r="AD150" s="35" t="n">
        <v>1086</v>
      </c>
      <c r="AE150" s="2" t="s">
        <v>242</v>
      </c>
      <c r="AF150" s="35" t="n">
        <v>362</v>
      </c>
      <c r="AG150" s="34" t="b">
        <f aca="false">FALSE()</f>
        <v>0</v>
      </c>
      <c r="AH150" s="2"/>
    </row>
    <row r="151" customFormat="false" ht="15" hidden="false" customHeight="false" outlineLevel="0" collapsed="false">
      <c r="A151" s="2" t="s">
        <v>470</v>
      </c>
      <c r="B151" s="2" t="s">
        <v>471</v>
      </c>
      <c r="C151" s="2" t="n">
        <v>80</v>
      </c>
      <c r="D151" s="2" t="s">
        <v>150</v>
      </c>
      <c r="E151" s="2" t="s">
        <v>153</v>
      </c>
      <c r="F151" s="2" t="s">
        <v>224</v>
      </c>
      <c r="G151" s="2" t="s">
        <v>118</v>
      </c>
      <c r="H151" s="2" t="s">
        <v>408</v>
      </c>
      <c r="I151" s="2" t="s">
        <v>123</v>
      </c>
      <c r="J151" s="2" t="s">
        <v>132</v>
      </c>
      <c r="K151" s="2" t="s">
        <v>249</v>
      </c>
      <c r="L151" s="33" t="n">
        <v>45126</v>
      </c>
      <c r="M151" s="33" t="n">
        <v>45127</v>
      </c>
      <c r="N151" s="2" t="n">
        <v>1</v>
      </c>
      <c r="O151" s="2" t="s">
        <v>180</v>
      </c>
      <c r="P151" s="34" t="b">
        <f aca="false">FALSE()</f>
        <v>0</v>
      </c>
      <c r="Q151" s="34" t="b">
        <f aca="false">FALSE()</f>
        <v>0</v>
      </c>
      <c r="R151" s="2" t="n">
        <v>7</v>
      </c>
      <c r="S151" s="2" t="s">
        <v>163</v>
      </c>
      <c r="T151" s="2" t="s">
        <v>227</v>
      </c>
      <c r="U151" s="2" t="s">
        <v>175</v>
      </c>
      <c r="V151" s="34" t="b">
        <f aca="false">FALSE()</f>
        <v>0</v>
      </c>
      <c r="W151" s="2" t="s">
        <v>139</v>
      </c>
      <c r="X151" s="2" t="s">
        <v>228</v>
      </c>
      <c r="Y151" s="34" t="b">
        <f aca="false">TRUE()</f>
        <v>1</v>
      </c>
      <c r="Z151" s="2" t="s">
        <v>142</v>
      </c>
      <c r="AA151" s="2" t="s">
        <v>256</v>
      </c>
      <c r="AB151" s="34" t="b">
        <f aca="false">FALSE()</f>
        <v>0</v>
      </c>
      <c r="AC151" s="35"/>
      <c r="AD151" s="35" t="n">
        <v>999</v>
      </c>
      <c r="AE151" s="2" t="s">
        <v>257</v>
      </c>
      <c r="AF151" s="35"/>
      <c r="AG151" s="34" t="b">
        <f aca="false">FALSE()</f>
        <v>0</v>
      </c>
      <c r="AH151" s="2"/>
    </row>
    <row r="152" customFormat="false" ht="15" hidden="false" customHeight="false" outlineLevel="0" collapsed="false">
      <c r="A152" s="2" t="s">
        <v>472</v>
      </c>
      <c r="B152" s="2" t="s">
        <v>325</v>
      </c>
      <c r="C152" s="2" t="n">
        <v>58</v>
      </c>
      <c r="D152" s="2" t="s">
        <v>149</v>
      </c>
      <c r="E152" s="2" t="s">
        <v>153</v>
      </c>
      <c r="F152" s="2" t="s">
        <v>224</v>
      </c>
      <c r="G152" s="2" t="s">
        <v>118</v>
      </c>
      <c r="H152" s="2" t="s">
        <v>408</v>
      </c>
      <c r="I152" s="2" t="s">
        <v>123</v>
      </c>
      <c r="J152" s="2" t="s">
        <v>130</v>
      </c>
      <c r="K152" s="2" t="s">
        <v>245</v>
      </c>
      <c r="L152" s="33" t="n">
        <v>45284</v>
      </c>
      <c r="M152" s="33" t="n">
        <v>45287</v>
      </c>
      <c r="N152" s="2" t="n">
        <v>3</v>
      </c>
      <c r="O152" s="2" t="s">
        <v>180</v>
      </c>
      <c r="P152" s="34" t="b">
        <f aca="false">FALSE()</f>
        <v>0</v>
      </c>
      <c r="Q152" s="34" t="b">
        <f aca="false">FALSE()</f>
        <v>0</v>
      </c>
      <c r="R152" s="2" t="n">
        <v>12</v>
      </c>
      <c r="S152" s="2" t="s">
        <v>168</v>
      </c>
      <c r="T152" s="2" t="s">
        <v>241</v>
      </c>
      <c r="U152" s="2" t="s">
        <v>172</v>
      </c>
      <c r="V152" s="34" t="b">
        <f aca="false">FALSE()</f>
        <v>0</v>
      </c>
      <c r="W152" s="2" t="s">
        <v>139</v>
      </c>
      <c r="X152" s="2" t="s">
        <v>228</v>
      </c>
      <c r="Y152" s="34" t="b">
        <f aca="false">TRUE()</f>
        <v>1</v>
      </c>
      <c r="Z152" s="2" t="s">
        <v>143</v>
      </c>
      <c r="AA152" s="2" t="s">
        <v>236</v>
      </c>
      <c r="AB152" s="34" t="b">
        <f aca="false">FALSE()</f>
        <v>0</v>
      </c>
      <c r="AC152" s="35"/>
      <c r="AD152" s="35" t="n">
        <v>3852</v>
      </c>
      <c r="AE152" s="2" t="s">
        <v>230</v>
      </c>
      <c r="AF152" s="35"/>
      <c r="AG152" s="34" t="b">
        <f aca="false">FALSE()</f>
        <v>0</v>
      </c>
      <c r="AH152" s="2"/>
    </row>
    <row r="153" customFormat="false" ht="15" hidden="false" customHeight="false" outlineLevel="0" collapsed="false">
      <c r="A153" s="2" t="s">
        <v>473</v>
      </c>
      <c r="B153" s="2" t="s">
        <v>321</v>
      </c>
      <c r="C153" s="2" t="n">
        <v>48</v>
      </c>
      <c r="D153" s="2" t="s">
        <v>149</v>
      </c>
      <c r="E153" s="2" t="s">
        <v>153</v>
      </c>
      <c r="F153" s="2" t="s">
        <v>224</v>
      </c>
      <c r="G153" s="2" t="s">
        <v>118</v>
      </c>
      <c r="H153" s="2" t="s">
        <v>408</v>
      </c>
      <c r="I153" s="2" t="s">
        <v>123</v>
      </c>
      <c r="J153" s="2" t="s">
        <v>133</v>
      </c>
      <c r="K153" s="2" t="s">
        <v>255</v>
      </c>
      <c r="L153" s="33" t="n">
        <v>45178</v>
      </c>
      <c r="M153" s="33" t="n">
        <v>45183</v>
      </c>
      <c r="N153" s="2" t="n">
        <v>5</v>
      </c>
      <c r="O153" s="2" t="s">
        <v>181</v>
      </c>
      <c r="P153" s="34" t="b">
        <f aca="false">FALSE()</f>
        <v>0</v>
      </c>
      <c r="Q153" s="34" t="b">
        <f aca="false">FALSE()</f>
        <v>0</v>
      </c>
      <c r="R153" s="2" t="n">
        <v>9</v>
      </c>
      <c r="S153" s="2" t="s">
        <v>165</v>
      </c>
      <c r="T153" s="2" t="s">
        <v>227</v>
      </c>
      <c r="U153" s="2" t="s">
        <v>171</v>
      </c>
      <c r="V153" s="34" t="b">
        <f aca="false">TRUE()</f>
        <v>1</v>
      </c>
      <c r="W153" s="2" t="s">
        <v>137</v>
      </c>
      <c r="X153" s="2" t="s">
        <v>235</v>
      </c>
      <c r="Y153" s="34" t="b">
        <f aca="false">FALSE()</f>
        <v>0</v>
      </c>
      <c r="Z153" s="2" t="s">
        <v>144</v>
      </c>
      <c r="AA153" s="2" t="s">
        <v>229</v>
      </c>
      <c r="AB153" s="34" t="b">
        <f aca="false">TRUE()</f>
        <v>1</v>
      </c>
      <c r="AC153" s="35"/>
      <c r="AD153" s="35" t="n">
        <v>3852</v>
      </c>
      <c r="AE153" s="2" t="s">
        <v>230</v>
      </c>
      <c r="AF153" s="35"/>
      <c r="AG153" s="34" t="b">
        <f aca="false">TRUE()</f>
        <v>1</v>
      </c>
      <c r="AH153" s="2"/>
    </row>
    <row r="154" customFormat="false" ht="15" hidden="false" customHeight="false" outlineLevel="0" collapsed="false">
      <c r="A154" s="2" t="s">
        <v>474</v>
      </c>
      <c r="B154" s="2" t="s">
        <v>475</v>
      </c>
      <c r="C154" s="2" t="n">
        <v>18</v>
      </c>
      <c r="D154" s="2" t="s">
        <v>148</v>
      </c>
      <c r="E154" s="2" t="s">
        <v>153</v>
      </c>
      <c r="F154" s="2" t="s">
        <v>224</v>
      </c>
      <c r="G154" s="2" t="s">
        <v>118</v>
      </c>
      <c r="H154" s="2" t="s">
        <v>408</v>
      </c>
      <c r="I154" s="2" t="s">
        <v>123</v>
      </c>
      <c r="J154" s="2" t="s">
        <v>132</v>
      </c>
      <c r="K154" s="2" t="s">
        <v>249</v>
      </c>
      <c r="L154" s="33" t="n">
        <v>44995</v>
      </c>
      <c r="M154" s="33" t="n">
        <v>44999</v>
      </c>
      <c r="N154" s="2" t="n">
        <v>4</v>
      </c>
      <c r="O154" s="2" t="s">
        <v>181</v>
      </c>
      <c r="P154" s="34" t="b">
        <f aca="false">FALSE()</f>
        <v>0</v>
      </c>
      <c r="Q154" s="34" t="b">
        <f aca="false">FALSE()</f>
        <v>0</v>
      </c>
      <c r="R154" s="2" t="n">
        <v>3</v>
      </c>
      <c r="S154" s="2" t="s">
        <v>159</v>
      </c>
      <c r="T154" s="2" t="s">
        <v>234</v>
      </c>
      <c r="U154" s="2" t="s">
        <v>177</v>
      </c>
      <c r="V154" s="34" t="b">
        <f aca="false">TRUE()</f>
        <v>1</v>
      </c>
      <c r="W154" s="2" t="s">
        <v>138</v>
      </c>
      <c r="X154" s="2" t="s">
        <v>250</v>
      </c>
      <c r="Y154" s="34" t="b">
        <f aca="false">FALSE()</f>
        <v>0</v>
      </c>
      <c r="Z154" s="2" t="s">
        <v>144</v>
      </c>
      <c r="AA154" s="2" t="s">
        <v>229</v>
      </c>
      <c r="AB154" s="34" t="b">
        <f aca="false">TRUE()</f>
        <v>1</v>
      </c>
      <c r="AC154" s="35"/>
      <c r="AD154" s="35" t="n">
        <v>3852</v>
      </c>
      <c r="AE154" s="2" t="s">
        <v>230</v>
      </c>
      <c r="AF154" s="35"/>
      <c r="AG154" s="34" t="b">
        <f aca="false">FALSE()</f>
        <v>0</v>
      </c>
      <c r="AH154" s="2"/>
    </row>
    <row r="155" customFormat="false" ht="15" hidden="false" customHeight="false" outlineLevel="0" collapsed="false">
      <c r="A155" s="2" t="s">
        <v>476</v>
      </c>
      <c r="B155" s="2" t="s">
        <v>475</v>
      </c>
      <c r="C155" s="2" t="n">
        <v>18</v>
      </c>
      <c r="D155" s="2" t="s">
        <v>148</v>
      </c>
      <c r="E155" s="2" t="s">
        <v>153</v>
      </c>
      <c r="F155" s="2" t="s">
        <v>224</v>
      </c>
      <c r="G155" s="2" t="s">
        <v>113</v>
      </c>
      <c r="H155" s="2" t="s">
        <v>477</v>
      </c>
      <c r="I155" s="2" t="s">
        <v>122</v>
      </c>
      <c r="J155" s="2" t="s">
        <v>132</v>
      </c>
      <c r="K155" s="2" t="s">
        <v>249</v>
      </c>
      <c r="L155" s="33" t="n">
        <v>44995</v>
      </c>
      <c r="M155" s="33" t="n">
        <v>44999</v>
      </c>
      <c r="N155" s="2" t="n">
        <v>4</v>
      </c>
      <c r="O155" s="2" t="s">
        <v>181</v>
      </c>
      <c r="P155" s="34" t="b">
        <f aca="false">FALSE()</f>
        <v>0</v>
      </c>
      <c r="Q155" s="34" t="b">
        <f aca="false">FALSE()</f>
        <v>0</v>
      </c>
      <c r="R155" s="2" t="n">
        <v>3</v>
      </c>
      <c r="S155" s="2" t="s">
        <v>159</v>
      </c>
      <c r="T155" s="2" t="s">
        <v>234</v>
      </c>
      <c r="U155" s="2" t="s">
        <v>177</v>
      </c>
      <c r="V155" s="34" t="b">
        <f aca="false">TRUE()</f>
        <v>1</v>
      </c>
      <c r="W155" s="2" t="s">
        <v>138</v>
      </c>
      <c r="X155" s="2" t="s">
        <v>250</v>
      </c>
      <c r="Y155" s="34" t="b">
        <f aca="false">FALSE()</f>
        <v>0</v>
      </c>
      <c r="Z155" s="2" t="s">
        <v>144</v>
      </c>
      <c r="AA155" s="2" t="s">
        <v>229</v>
      </c>
      <c r="AB155" s="34" t="b">
        <f aca="false">TRUE()</f>
        <v>1</v>
      </c>
      <c r="AC155" s="35"/>
      <c r="AD155" s="35" t="n">
        <v>3852</v>
      </c>
      <c r="AE155" s="2" t="s">
        <v>230</v>
      </c>
      <c r="AF155" s="35"/>
      <c r="AG155" s="34" t="b">
        <f aca="false">FALSE()</f>
        <v>0</v>
      </c>
      <c r="AH155" s="2"/>
    </row>
    <row r="156" customFormat="false" ht="15" hidden="false" customHeight="false" outlineLevel="0" collapsed="false">
      <c r="A156" s="2" t="s">
        <v>478</v>
      </c>
      <c r="B156" s="2" t="s">
        <v>291</v>
      </c>
      <c r="C156" s="2" t="n">
        <v>30</v>
      </c>
      <c r="D156" s="2" t="s">
        <v>148</v>
      </c>
      <c r="E156" s="2" t="s">
        <v>153</v>
      </c>
      <c r="F156" s="2" t="s">
        <v>224</v>
      </c>
      <c r="G156" s="2" t="s">
        <v>113</v>
      </c>
      <c r="H156" s="2" t="s">
        <v>477</v>
      </c>
      <c r="I156" s="2" t="s">
        <v>122</v>
      </c>
      <c r="J156" s="2" t="s">
        <v>132</v>
      </c>
      <c r="K156" s="2" t="s">
        <v>249</v>
      </c>
      <c r="L156" s="33" t="n">
        <v>45007</v>
      </c>
      <c r="M156" s="33" t="n">
        <v>45014</v>
      </c>
      <c r="N156" s="2" t="n">
        <v>7</v>
      </c>
      <c r="O156" s="2" t="s">
        <v>181</v>
      </c>
      <c r="P156" s="34" t="b">
        <f aca="false">FALSE()</f>
        <v>0</v>
      </c>
      <c r="Q156" s="34" t="b">
        <f aca="false">FALSE()</f>
        <v>0</v>
      </c>
      <c r="R156" s="2" t="n">
        <v>3</v>
      </c>
      <c r="S156" s="2" t="s">
        <v>159</v>
      </c>
      <c r="T156" s="2" t="s">
        <v>234</v>
      </c>
      <c r="U156" s="2" t="s">
        <v>175</v>
      </c>
      <c r="V156" s="34" t="b">
        <f aca="false">FALSE()</f>
        <v>0</v>
      </c>
      <c r="W156" s="2" t="s">
        <v>137</v>
      </c>
      <c r="X156" s="2" t="s">
        <v>235</v>
      </c>
      <c r="Y156" s="34" t="b">
        <f aca="false">FALSE()</f>
        <v>0</v>
      </c>
      <c r="Z156" s="2" t="s">
        <v>144</v>
      </c>
      <c r="AA156" s="2" t="s">
        <v>229</v>
      </c>
      <c r="AB156" s="34" t="b">
        <f aca="false">TRUE()</f>
        <v>1</v>
      </c>
      <c r="AC156" s="35"/>
      <c r="AD156" s="35" t="n">
        <v>3852</v>
      </c>
      <c r="AE156" s="2" t="s">
        <v>230</v>
      </c>
      <c r="AF156" s="35"/>
      <c r="AG156" s="34" t="b">
        <f aca="false">FALSE()</f>
        <v>0</v>
      </c>
      <c r="AH156" s="2"/>
    </row>
    <row r="157" customFormat="false" ht="15" hidden="false" customHeight="false" outlineLevel="0" collapsed="false">
      <c r="A157" s="2" t="s">
        <v>479</v>
      </c>
      <c r="B157" s="2" t="s">
        <v>343</v>
      </c>
      <c r="C157" s="2" t="n">
        <v>52</v>
      </c>
      <c r="D157" s="2" t="s">
        <v>149</v>
      </c>
      <c r="E157" s="2" t="s">
        <v>153</v>
      </c>
      <c r="F157" s="2" t="s">
        <v>224</v>
      </c>
      <c r="G157" s="2" t="s">
        <v>113</v>
      </c>
      <c r="H157" s="2" t="s">
        <v>477</v>
      </c>
      <c r="I157" s="2" t="s">
        <v>122</v>
      </c>
      <c r="J157" s="2" t="s">
        <v>128</v>
      </c>
      <c r="K157" s="2" t="s">
        <v>226</v>
      </c>
      <c r="L157" s="33" t="n">
        <v>45059</v>
      </c>
      <c r="M157" s="33" t="n">
        <v>45062</v>
      </c>
      <c r="N157" s="2" t="n">
        <v>3</v>
      </c>
      <c r="O157" s="2" t="s">
        <v>180</v>
      </c>
      <c r="P157" s="34" t="b">
        <f aca="false">FALSE()</f>
        <v>0</v>
      </c>
      <c r="Q157" s="34" t="b">
        <f aca="false">FALSE()</f>
        <v>0</v>
      </c>
      <c r="R157" s="2" t="n">
        <v>5</v>
      </c>
      <c r="S157" s="2" t="s">
        <v>161</v>
      </c>
      <c r="T157" s="2" t="s">
        <v>246</v>
      </c>
      <c r="U157" s="2" t="s">
        <v>171</v>
      </c>
      <c r="V157" s="34" t="b">
        <f aca="false">TRUE()</f>
        <v>1</v>
      </c>
      <c r="W157" s="2" t="s">
        <v>139</v>
      </c>
      <c r="X157" s="2" t="s">
        <v>228</v>
      </c>
      <c r="Y157" s="34" t="b">
        <f aca="false">TRUE()</f>
        <v>1</v>
      </c>
      <c r="Z157" s="2" t="s">
        <v>144</v>
      </c>
      <c r="AA157" s="2" t="s">
        <v>229</v>
      </c>
      <c r="AB157" s="34" t="b">
        <f aca="false">TRUE()</f>
        <v>1</v>
      </c>
      <c r="AC157" s="35"/>
      <c r="AD157" s="35" t="n">
        <v>3852</v>
      </c>
      <c r="AE157" s="2" t="s">
        <v>230</v>
      </c>
      <c r="AF157" s="35"/>
      <c r="AG157" s="34" t="b">
        <f aca="false">FALSE()</f>
        <v>0</v>
      </c>
      <c r="AH157" s="2"/>
    </row>
    <row r="158" customFormat="false" ht="15" hidden="false" customHeight="false" outlineLevel="0" collapsed="false">
      <c r="A158" s="2" t="s">
        <v>480</v>
      </c>
      <c r="B158" s="2" t="s">
        <v>280</v>
      </c>
      <c r="C158" s="2" t="n">
        <v>84</v>
      </c>
      <c r="D158" s="2" t="s">
        <v>150</v>
      </c>
      <c r="E158" s="2" t="s">
        <v>153</v>
      </c>
      <c r="F158" s="2" t="s">
        <v>224</v>
      </c>
      <c r="G158" s="2" t="s">
        <v>113</v>
      </c>
      <c r="H158" s="2" t="s">
        <v>477</v>
      </c>
      <c r="I158" s="2" t="s">
        <v>122</v>
      </c>
      <c r="J158" s="2" t="s">
        <v>131</v>
      </c>
      <c r="K158" s="2" t="s">
        <v>263</v>
      </c>
      <c r="L158" s="33" t="n">
        <v>44931</v>
      </c>
      <c r="M158" s="33" t="n">
        <v>44936</v>
      </c>
      <c r="N158" s="2" t="n">
        <v>5</v>
      </c>
      <c r="O158" s="2" t="s">
        <v>181</v>
      </c>
      <c r="P158" s="34" t="b">
        <f aca="false">FALSE()</f>
        <v>0</v>
      </c>
      <c r="Q158" s="34" t="b">
        <f aca="false">FALSE()</f>
        <v>0</v>
      </c>
      <c r="R158" s="2" t="n">
        <v>1</v>
      </c>
      <c r="S158" s="2" t="s">
        <v>157</v>
      </c>
      <c r="T158" s="2" t="s">
        <v>234</v>
      </c>
      <c r="U158" s="2" t="s">
        <v>176</v>
      </c>
      <c r="V158" s="34" t="b">
        <f aca="false">FALSE()</f>
        <v>0</v>
      </c>
      <c r="W158" s="2" t="s">
        <v>138</v>
      </c>
      <c r="X158" s="2" t="s">
        <v>250</v>
      </c>
      <c r="Y158" s="34" t="b">
        <f aca="false">FALSE()</f>
        <v>0</v>
      </c>
      <c r="Z158" s="2" t="s">
        <v>142</v>
      </c>
      <c r="AA158" s="2" t="s">
        <v>256</v>
      </c>
      <c r="AB158" s="34" t="b">
        <f aca="false">FALSE()</f>
        <v>0</v>
      </c>
      <c r="AC158" s="35" t="n">
        <v>3920</v>
      </c>
      <c r="AD158" s="35" t="n">
        <v>3920</v>
      </c>
      <c r="AE158" s="2" t="s">
        <v>242</v>
      </c>
      <c r="AF158" s="35" t="n">
        <v>784</v>
      </c>
      <c r="AG158" s="34" t="b">
        <f aca="false">FALSE()</f>
        <v>0</v>
      </c>
      <c r="AH158" s="2"/>
    </row>
    <row r="159" customFormat="false" ht="15" hidden="false" customHeight="false" outlineLevel="0" collapsed="false">
      <c r="A159" s="2" t="s">
        <v>481</v>
      </c>
      <c r="B159" s="2" t="s">
        <v>287</v>
      </c>
      <c r="C159" s="2" t="n">
        <v>81</v>
      </c>
      <c r="D159" s="2" t="s">
        <v>150</v>
      </c>
      <c r="E159" s="2" t="s">
        <v>153</v>
      </c>
      <c r="F159" s="2" t="s">
        <v>224</v>
      </c>
      <c r="G159" s="2" t="s">
        <v>113</v>
      </c>
      <c r="H159" s="2" t="s">
        <v>477</v>
      </c>
      <c r="I159" s="2" t="s">
        <v>122</v>
      </c>
      <c r="J159" s="2" t="s">
        <v>132</v>
      </c>
      <c r="K159" s="2" t="s">
        <v>249</v>
      </c>
      <c r="L159" s="33" t="n">
        <v>45285</v>
      </c>
      <c r="M159" s="33" t="n">
        <v>45305</v>
      </c>
      <c r="N159" s="2" t="n">
        <v>20</v>
      </c>
      <c r="O159" s="2" t="s">
        <v>183</v>
      </c>
      <c r="P159" s="34" t="b">
        <f aca="false">TRUE()</f>
        <v>1</v>
      </c>
      <c r="Q159" s="34" t="b">
        <f aca="false">TRUE()</f>
        <v>1</v>
      </c>
      <c r="R159" s="2" t="n">
        <v>12</v>
      </c>
      <c r="S159" s="2" t="s">
        <v>168</v>
      </c>
      <c r="T159" s="2" t="s">
        <v>241</v>
      </c>
      <c r="U159" s="2" t="s">
        <v>173</v>
      </c>
      <c r="V159" s="34" t="b">
        <f aca="false">FALSE()</f>
        <v>0</v>
      </c>
      <c r="W159" s="2" t="s">
        <v>139</v>
      </c>
      <c r="X159" s="2" t="s">
        <v>228</v>
      </c>
      <c r="Y159" s="34" t="b">
        <f aca="false">TRUE()</f>
        <v>1</v>
      </c>
      <c r="Z159" s="2" t="s">
        <v>142</v>
      </c>
      <c r="AA159" s="2" t="s">
        <v>256</v>
      </c>
      <c r="AB159" s="34" t="b">
        <f aca="false">FALSE()</f>
        <v>0</v>
      </c>
      <c r="AC159" s="35"/>
      <c r="AD159" s="35" t="n">
        <v>999</v>
      </c>
      <c r="AE159" s="2" t="s">
        <v>257</v>
      </c>
      <c r="AF159" s="35"/>
      <c r="AG159" s="34" t="b">
        <f aca="false">FALSE()</f>
        <v>0</v>
      </c>
      <c r="AH159" s="2"/>
    </row>
    <row r="160" customFormat="false" ht="15" hidden="false" customHeight="false" outlineLevel="0" collapsed="false">
      <c r="A160" s="2" t="s">
        <v>482</v>
      </c>
      <c r="B160" s="2" t="s">
        <v>483</v>
      </c>
      <c r="C160" s="2" t="n">
        <v>83</v>
      </c>
      <c r="D160" s="2" t="s">
        <v>150</v>
      </c>
      <c r="E160" s="2" t="s">
        <v>154</v>
      </c>
      <c r="F160" s="2" t="s">
        <v>233</v>
      </c>
      <c r="G160" s="2" t="s">
        <v>113</v>
      </c>
      <c r="H160" s="2" t="s">
        <v>477</v>
      </c>
      <c r="I160" s="2" t="s">
        <v>122</v>
      </c>
      <c r="J160" s="2" t="s">
        <v>131</v>
      </c>
      <c r="K160" s="2" t="s">
        <v>263</v>
      </c>
      <c r="L160" s="33" t="n">
        <v>45265</v>
      </c>
      <c r="M160" s="33" t="n">
        <v>45269</v>
      </c>
      <c r="N160" s="2" t="n">
        <v>4</v>
      </c>
      <c r="O160" s="2" t="s">
        <v>181</v>
      </c>
      <c r="P160" s="34" t="b">
        <f aca="false">FALSE()</f>
        <v>0</v>
      </c>
      <c r="Q160" s="34" t="b">
        <f aca="false">FALSE()</f>
        <v>0</v>
      </c>
      <c r="R160" s="2" t="n">
        <v>12</v>
      </c>
      <c r="S160" s="2" t="s">
        <v>168</v>
      </c>
      <c r="T160" s="2" t="s">
        <v>241</v>
      </c>
      <c r="U160" s="2" t="s">
        <v>174</v>
      </c>
      <c r="V160" s="34" t="b">
        <f aca="false">FALSE()</f>
        <v>0</v>
      </c>
      <c r="W160" s="2" t="s">
        <v>139</v>
      </c>
      <c r="X160" s="2" t="s">
        <v>228</v>
      </c>
      <c r="Y160" s="34" t="b">
        <f aca="false">TRUE()</f>
        <v>1</v>
      </c>
      <c r="Z160" s="2" t="s">
        <v>143</v>
      </c>
      <c r="AA160" s="2" t="s">
        <v>236</v>
      </c>
      <c r="AB160" s="34" t="b">
        <f aca="false">FALSE()</f>
        <v>0</v>
      </c>
      <c r="AC160" s="35"/>
      <c r="AD160" s="35" t="n">
        <v>3852</v>
      </c>
      <c r="AE160" s="2" t="s">
        <v>230</v>
      </c>
      <c r="AF160" s="35"/>
      <c r="AG160" s="34" t="b">
        <f aca="false">TRUE()</f>
        <v>1</v>
      </c>
      <c r="AH160" s="2"/>
    </row>
    <row r="161" customFormat="false" ht="15" hidden="false" customHeight="false" outlineLevel="0" collapsed="false">
      <c r="A161" s="2" t="s">
        <v>484</v>
      </c>
      <c r="B161" s="2" t="s">
        <v>454</v>
      </c>
      <c r="C161" s="2" t="n">
        <v>62</v>
      </c>
      <c r="D161" s="2" t="s">
        <v>150</v>
      </c>
      <c r="E161" s="2" t="s">
        <v>154</v>
      </c>
      <c r="F161" s="2" t="s">
        <v>233</v>
      </c>
      <c r="G161" s="2" t="s">
        <v>113</v>
      </c>
      <c r="H161" s="2" t="s">
        <v>477</v>
      </c>
      <c r="I161" s="2" t="s">
        <v>122</v>
      </c>
      <c r="J161" s="2" t="s">
        <v>129</v>
      </c>
      <c r="K161" s="2" t="s">
        <v>260</v>
      </c>
      <c r="L161" s="33" t="n">
        <v>45206</v>
      </c>
      <c r="M161" s="33" t="n">
        <v>45208</v>
      </c>
      <c r="N161" s="2" t="n">
        <v>2</v>
      </c>
      <c r="O161" s="2" t="s">
        <v>180</v>
      </c>
      <c r="P161" s="34" t="b">
        <f aca="false">FALSE()</f>
        <v>0</v>
      </c>
      <c r="Q161" s="34" t="b">
        <f aca="false">FALSE()</f>
        <v>0</v>
      </c>
      <c r="R161" s="2" t="n">
        <v>10</v>
      </c>
      <c r="S161" s="2" t="s">
        <v>166</v>
      </c>
      <c r="T161" s="2" t="s">
        <v>241</v>
      </c>
      <c r="U161" s="2" t="s">
        <v>171</v>
      </c>
      <c r="V161" s="34" t="b">
        <f aca="false">TRUE()</f>
        <v>1</v>
      </c>
      <c r="W161" s="2" t="s">
        <v>138</v>
      </c>
      <c r="X161" s="2" t="s">
        <v>250</v>
      </c>
      <c r="Y161" s="34" t="b">
        <f aca="false">FALSE()</f>
        <v>0</v>
      </c>
      <c r="Z161" s="2" t="s">
        <v>143</v>
      </c>
      <c r="AA161" s="2" t="s">
        <v>236</v>
      </c>
      <c r="AB161" s="34" t="b">
        <f aca="false">FALSE()</f>
        <v>0</v>
      </c>
      <c r="AC161" s="35" t="n">
        <v>3449</v>
      </c>
      <c r="AD161" s="35" t="n">
        <v>3449</v>
      </c>
      <c r="AE161" s="2" t="s">
        <v>242</v>
      </c>
      <c r="AF161" s="35" t="n">
        <v>1724.5</v>
      </c>
      <c r="AG161" s="34" t="b">
        <f aca="false">FALSE()</f>
        <v>0</v>
      </c>
      <c r="AH161" s="2"/>
    </row>
    <row r="162" customFormat="false" ht="15" hidden="false" customHeight="false" outlineLevel="0" collapsed="false">
      <c r="A162" s="2" t="s">
        <v>485</v>
      </c>
      <c r="B162" s="2" t="s">
        <v>465</v>
      </c>
      <c r="C162" s="2" t="n">
        <v>73</v>
      </c>
      <c r="D162" s="2" t="s">
        <v>150</v>
      </c>
      <c r="E162" s="2" t="s">
        <v>153</v>
      </c>
      <c r="F162" s="2" t="s">
        <v>224</v>
      </c>
      <c r="G162" s="2" t="s">
        <v>117</v>
      </c>
      <c r="H162" s="2" t="s">
        <v>410</v>
      </c>
      <c r="I162" s="2" t="s">
        <v>125</v>
      </c>
      <c r="J162" s="2" t="s">
        <v>131</v>
      </c>
      <c r="K162" s="2" t="s">
        <v>263</v>
      </c>
      <c r="L162" s="33" t="n">
        <v>44982</v>
      </c>
      <c r="M162" s="33" t="n">
        <v>45003</v>
      </c>
      <c r="N162" s="2" t="n">
        <v>21</v>
      </c>
      <c r="O162" s="2" t="s">
        <v>183</v>
      </c>
      <c r="P162" s="34" t="b">
        <f aca="false">TRUE()</f>
        <v>1</v>
      </c>
      <c r="Q162" s="34" t="b">
        <f aca="false">TRUE()</f>
        <v>1</v>
      </c>
      <c r="R162" s="2" t="n">
        <v>2</v>
      </c>
      <c r="S162" s="2" t="s">
        <v>158</v>
      </c>
      <c r="T162" s="2" t="s">
        <v>234</v>
      </c>
      <c r="U162" s="2" t="s">
        <v>171</v>
      </c>
      <c r="V162" s="34" t="b">
        <f aca="false">TRUE()</f>
        <v>1</v>
      </c>
      <c r="W162" s="2" t="s">
        <v>137</v>
      </c>
      <c r="X162" s="2" t="s">
        <v>235</v>
      </c>
      <c r="Y162" s="34" t="b">
        <f aca="false">FALSE()</f>
        <v>0</v>
      </c>
      <c r="Z162" s="2" t="s">
        <v>142</v>
      </c>
      <c r="AA162" s="2" t="s">
        <v>256</v>
      </c>
      <c r="AB162" s="34" t="b">
        <f aca="false">FALSE()</f>
        <v>0</v>
      </c>
      <c r="AC162" s="35"/>
      <c r="AD162" s="35" t="n">
        <v>999</v>
      </c>
      <c r="AE162" s="2" t="s">
        <v>257</v>
      </c>
      <c r="AF162" s="35"/>
      <c r="AG162" s="34" t="b">
        <f aca="false">FALSE()</f>
        <v>0</v>
      </c>
      <c r="AH162" s="2"/>
    </row>
    <row r="163" customFormat="false" ht="15" hidden="false" customHeight="false" outlineLevel="0" collapsed="false">
      <c r="A163" s="2" t="s">
        <v>486</v>
      </c>
      <c r="B163" s="2" t="s">
        <v>421</v>
      </c>
      <c r="C163" s="2" t="n">
        <v>54</v>
      </c>
      <c r="D163" s="2" t="s">
        <v>149</v>
      </c>
      <c r="E163" s="2" t="s">
        <v>154</v>
      </c>
      <c r="F163" s="2" t="s">
        <v>233</v>
      </c>
      <c r="G163" s="2" t="s">
        <v>117</v>
      </c>
      <c r="H163" s="2" t="s">
        <v>410</v>
      </c>
      <c r="I163" s="2" t="s">
        <v>125</v>
      </c>
      <c r="J163" s="2" t="s">
        <v>130</v>
      </c>
      <c r="K163" s="2" t="s">
        <v>245</v>
      </c>
      <c r="L163" s="33" t="n">
        <v>45244</v>
      </c>
      <c r="M163" s="33" t="n">
        <v>45252</v>
      </c>
      <c r="N163" s="2" t="n">
        <v>8</v>
      </c>
      <c r="O163" s="2" t="s">
        <v>182</v>
      </c>
      <c r="P163" s="34" t="b">
        <f aca="false">TRUE()</f>
        <v>1</v>
      </c>
      <c r="Q163" s="34" t="b">
        <f aca="false">FALSE()</f>
        <v>0</v>
      </c>
      <c r="R163" s="2" t="n">
        <v>11</v>
      </c>
      <c r="S163" s="2" t="s">
        <v>167</v>
      </c>
      <c r="T163" s="2" t="s">
        <v>241</v>
      </c>
      <c r="U163" s="2" t="s">
        <v>174</v>
      </c>
      <c r="V163" s="34" t="b">
        <f aca="false">FALSE()</f>
        <v>0</v>
      </c>
      <c r="W163" s="2" t="s">
        <v>137</v>
      </c>
      <c r="X163" s="2" t="s">
        <v>235</v>
      </c>
      <c r="Y163" s="34" t="b">
        <f aca="false">FALSE()</f>
        <v>0</v>
      </c>
      <c r="Z163" s="2" t="s">
        <v>142</v>
      </c>
      <c r="AA163" s="2" t="s">
        <v>256</v>
      </c>
      <c r="AB163" s="34" t="b">
        <f aca="false">FALSE()</f>
        <v>0</v>
      </c>
      <c r="AC163" s="35" t="n">
        <v>6660</v>
      </c>
      <c r="AD163" s="35" t="n">
        <v>6660</v>
      </c>
      <c r="AE163" s="2" t="s">
        <v>242</v>
      </c>
      <c r="AF163" s="35" t="n">
        <v>832.5</v>
      </c>
      <c r="AG163" s="34" t="b">
        <f aca="false">FALSE()</f>
        <v>0</v>
      </c>
      <c r="AH163" s="2"/>
    </row>
    <row r="164" customFormat="false" ht="15" hidden="false" customHeight="false" outlineLevel="0" collapsed="false">
      <c r="A164" s="2" t="s">
        <v>487</v>
      </c>
      <c r="B164" s="2" t="s">
        <v>382</v>
      </c>
      <c r="C164" s="2" t="n">
        <v>77</v>
      </c>
      <c r="D164" s="2" t="s">
        <v>150</v>
      </c>
      <c r="E164" s="2" t="s">
        <v>154</v>
      </c>
      <c r="F164" s="2" t="s">
        <v>233</v>
      </c>
      <c r="G164" s="2" t="s">
        <v>117</v>
      </c>
      <c r="H164" s="2" t="s">
        <v>410</v>
      </c>
      <c r="I164" s="2" t="s">
        <v>125</v>
      </c>
      <c r="J164" s="2" t="s">
        <v>133</v>
      </c>
      <c r="K164" s="2" t="s">
        <v>255</v>
      </c>
      <c r="L164" s="33" t="n">
        <v>45217</v>
      </c>
      <c r="M164" s="33" t="n">
        <v>45220</v>
      </c>
      <c r="N164" s="2" t="n">
        <v>3</v>
      </c>
      <c r="O164" s="2" t="s">
        <v>180</v>
      </c>
      <c r="P164" s="34" t="b">
        <f aca="false">FALSE()</f>
        <v>0</v>
      </c>
      <c r="Q164" s="34" t="b">
        <f aca="false">FALSE()</f>
        <v>0</v>
      </c>
      <c r="R164" s="2" t="n">
        <v>10</v>
      </c>
      <c r="S164" s="2" t="s">
        <v>166</v>
      </c>
      <c r="T164" s="2" t="s">
        <v>241</v>
      </c>
      <c r="U164" s="2" t="s">
        <v>175</v>
      </c>
      <c r="V164" s="34" t="b">
        <f aca="false">FALSE()</f>
        <v>0</v>
      </c>
      <c r="W164" s="2" t="s">
        <v>137</v>
      </c>
      <c r="X164" s="2" t="s">
        <v>235</v>
      </c>
      <c r="Y164" s="34" t="b">
        <f aca="false">FALSE()</f>
        <v>0</v>
      </c>
      <c r="Z164" s="2" t="s">
        <v>142</v>
      </c>
      <c r="AA164" s="2" t="s">
        <v>256</v>
      </c>
      <c r="AB164" s="34" t="b">
        <f aca="false">FALSE()</f>
        <v>0</v>
      </c>
      <c r="AC164" s="35"/>
      <c r="AD164" s="35" t="n">
        <v>3852</v>
      </c>
      <c r="AE164" s="2" t="s">
        <v>230</v>
      </c>
      <c r="AF164" s="35"/>
      <c r="AG164" s="34" t="b">
        <f aca="false">FALSE()</f>
        <v>0</v>
      </c>
      <c r="AH164" s="2"/>
    </row>
    <row r="165" customFormat="false" ht="15" hidden="false" customHeight="false" outlineLevel="0" collapsed="false">
      <c r="A165" s="2" t="s">
        <v>488</v>
      </c>
      <c r="B165" s="2" t="s">
        <v>272</v>
      </c>
      <c r="C165" s="2" t="n">
        <v>41</v>
      </c>
      <c r="D165" s="2" t="s">
        <v>149</v>
      </c>
      <c r="E165" s="2" t="s">
        <v>154</v>
      </c>
      <c r="F165" s="2" t="s">
        <v>233</v>
      </c>
      <c r="G165" s="2" t="s">
        <v>117</v>
      </c>
      <c r="H165" s="2" t="s">
        <v>410</v>
      </c>
      <c r="I165" s="2" t="s">
        <v>125</v>
      </c>
      <c r="J165" s="2" t="s">
        <v>132</v>
      </c>
      <c r="K165" s="2" t="s">
        <v>249</v>
      </c>
      <c r="L165" s="33" t="n">
        <v>45125</v>
      </c>
      <c r="M165" s="33" t="n">
        <v>45128</v>
      </c>
      <c r="N165" s="2" t="n">
        <v>3</v>
      </c>
      <c r="O165" s="2" t="s">
        <v>180</v>
      </c>
      <c r="P165" s="34" t="b">
        <f aca="false">FALSE()</f>
        <v>0</v>
      </c>
      <c r="Q165" s="34" t="b">
        <f aca="false">FALSE()</f>
        <v>0</v>
      </c>
      <c r="R165" s="2" t="n">
        <v>7</v>
      </c>
      <c r="S165" s="2" t="s">
        <v>163</v>
      </c>
      <c r="T165" s="2" t="s">
        <v>227</v>
      </c>
      <c r="U165" s="2" t="s">
        <v>174</v>
      </c>
      <c r="V165" s="34" t="b">
        <f aca="false">FALSE()</f>
        <v>0</v>
      </c>
      <c r="W165" s="2" t="s">
        <v>137</v>
      </c>
      <c r="X165" s="2" t="s">
        <v>235</v>
      </c>
      <c r="Y165" s="34" t="b">
        <f aca="false">FALSE()</f>
        <v>0</v>
      </c>
      <c r="Z165" s="2" t="s">
        <v>142</v>
      </c>
      <c r="AA165" s="2" t="s">
        <v>256</v>
      </c>
      <c r="AB165" s="34" t="b">
        <f aca="false">FALSE()</f>
        <v>0</v>
      </c>
      <c r="AC165" s="35"/>
      <c r="AD165" s="35" t="n">
        <v>999</v>
      </c>
      <c r="AE165" s="2" t="s">
        <v>257</v>
      </c>
      <c r="AF165" s="35"/>
      <c r="AG165" s="34" t="b">
        <f aca="false">FALSE()</f>
        <v>0</v>
      </c>
      <c r="AH165" s="2"/>
    </row>
    <row r="166" customFormat="false" ht="15" hidden="false" customHeight="false" outlineLevel="0" collapsed="false">
      <c r="A166" s="2" t="s">
        <v>489</v>
      </c>
      <c r="B166" s="2" t="s">
        <v>358</v>
      </c>
      <c r="C166" s="2" t="n">
        <v>73</v>
      </c>
      <c r="D166" s="2" t="s">
        <v>150</v>
      </c>
      <c r="E166" s="2" t="s">
        <v>154</v>
      </c>
      <c r="F166" s="2" t="s">
        <v>233</v>
      </c>
      <c r="G166" s="2" t="s">
        <v>117</v>
      </c>
      <c r="H166" s="2" t="s">
        <v>410</v>
      </c>
      <c r="I166" s="2" t="s">
        <v>125</v>
      </c>
      <c r="J166" s="2" t="s">
        <v>128</v>
      </c>
      <c r="K166" s="2" t="s">
        <v>226</v>
      </c>
      <c r="L166" s="33" t="n">
        <v>45083</v>
      </c>
      <c r="M166" s="33" t="n">
        <v>45084</v>
      </c>
      <c r="N166" s="2" t="n">
        <v>1</v>
      </c>
      <c r="O166" s="2" t="s">
        <v>180</v>
      </c>
      <c r="P166" s="34" t="b">
        <f aca="false">FALSE()</f>
        <v>0</v>
      </c>
      <c r="Q166" s="34" t="b">
        <f aca="false">FALSE()</f>
        <v>0</v>
      </c>
      <c r="R166" s="2" t="n">
        <v>6</v>
      </c>
      <c r="S166" s="2" t="s">
        <v>162</v>
      </c>
      <c r="T166" s="2" t="s">
        <v>246</v>
      </c>
      <c r="U166" s="2" t="s">
        <v>174</v>
      </c>
      <c r="V166" s="34" t="b">
        <f aca="false">FALSE()</f>
        <v>0</v>
      </c>
      <c r="W166" s="2" t="s">
        <v>138</v>
      </c>
      <c r="X166" s="2" t="s">
        <v>250</v>
      </c>
      <c r="Y166" s="34" t="b">
        <f aca="false">FALSE()</f>
        <v>0</v>
      </c>
      <c r="Z166" s="2" t="s">
        <v>143</v>
      </c>
      <c r="AA166" s="2" t="s">
        <v>236</v>
      </c>
      <c r="AB166" s="34" t="b">
        <f aca="false">FALSE()</f>
        <v>0</v>
      </c>
      <c r="AC166" s="35" t="n">
        <v>1536</v>
      </c>
      <c r="AD166" s="35" t="n">
        <v>1536</v>
      </c>
      <c r="AE166" s="2" t="s">
        <v>242</v>
      </c>
      <c r="AF166" s="35" t="n">
        <v>1536</v>
      </c>
      <c r="AG166" s="34" t="b">
        <f aca="false">FALSE()</f>
        <v>0</v>
      </c>
      <c r="AH166" s="2"/>
    </row>
    <row r="167" customFormat="false" ht="15" hidden="false" customHeight="false" outlineLevel="0" collapsed="false">
      <c r="A167" s="2" t="s">
        <v>490</v>
      </c>
      <c r="B167" s="2" t="s">
        <v>327</v>
      </c>
      <c r="C167" s="2" t="n">
        <v>89</v>
      </c>
      <c r="D167" s="2" t="s">
        <v>150</v>
      </c>
      <c r="E167" s="2" t="s">
        <v>154</v>
      </c>
      <c r="F167" s="2" t="s">
        <v>233</v>
      </c>
      <c r="G167" s="2" t="s">
        <v>117</v>
      </c>
      <c r="H167" s="2" t="s">
        <v>410</v>
      </c>
      <c r="I167" s="2" t="s">
        <v>125</v>
      </c>
      <c r="J167" s="2" t="s">
        <v>128</v>
      </c>
      <c r="K167" s="2" t="s">
        <v>226</v>
      </c>
      <c r="L167" s="33" t="n">
        <v>44936</v>
      </c>
      <c r="M167" s="33" t="n">
        <v>44949</v>
      </c>
      <c r="N167" s="2" t="n">
        <v>13</v>
      </c>
      <c r="O167" s="2" t="s">
        <v>182</v>
      </c>
      <c r="P167" s="34" t="b">
        <f aca="false">TRUE()</f>
        <v>1</v>
      </c>
      <c r="Q167" s="34" t="b">
        <f aca="false">FALSE()</f>
        <v>0</v>
      </c>
      <c r="R167" s="2" t="n">
        <v>1</v>
      </c>
      <c r="S167" s="2" t="s">
        <v>157</v>
      </c>
      <c r="T167" s="2" t="s">
        <v>234</v>
      </c>
      <c r="U167" s="2" t="s">
        <v>174</v>
      </c>
      <c r="V167" s="34" t="b">
        <f aca="false">FALSE()</f>
        <v>0</v>
      </c>
      <c r="W167" s="2" t="s">
        <v>138</v>
      </c>
      <c r="X167" s="2" t="s">
        <v>250</v>
      </c>
      <c r="Y167" s="34" t="b">
        <f aca="false">FALSE()</f>
        <v>0</v>
      </c>
      <c r="Z167" s="2" t="s">
        <v>144</v>
      </c>
      <c r="AA167" s="2" t="s">
        <v>229</v>
      </c>
      <c r="AB167" s="34" t="b">
        <f aca="false">TRUE()</f>
        <v>1</v>
      </c>
      <c r="AC167" s="35"/>
      <c r="AD167" s="35" t="n">
        <v>3852</v>
      </c>
      <c r="AE167" s="2" t="s">
        <v>230</v>
      </c>
      <c r="AF167" s="35"/>
      <c r="AG167" s="34" t="b">
        <f aca="false">FALSE()</f>
        <v>0</v>
      </c>
      <c r="AH167" s="2"/>
    </row>
    <row r="168" customFormat="false" ht="15" hidden="false" customHeight="false" outlineLevel="0" collapsed="false">
      <c r="A168" s="2" t="s">
        <v>491</v>
      </c>
      <c r="B168" s="2" t="s">
        <v>352</v>
      </c>
      <c r="C168" s="2" t="n">
        <v>66</v>
      </c>
      <c r="D168" s="2" t="s">
        <v>150</v>
      </c>
      <c r="E168" s="2" t="s">
        <v>154</v>
      </c>
      <c r="F168" s="2" t="s">
        <v>233</v>
      </c>
      <c r="G168" s="2" t="s">
        <v>111</v>
      </c>
      <c r="H168" s="2" t="s">
        <v>275</v>
      </c>
      <c r="I168" s="2" t="s">
        <v>122</v>
      </c>
      <c r="J168" s="2" t="s">
        <v>132</v>
      </c>
      <c r="K168" s="2" t="s">
        <v>249</v>
      </c>
      <c r="L168" s="33" t="n">
        <v>45060</v>
      </c>
      <c r="M168" s="33" t="n">
        <v>45063</v>
      </c>
      <c r="N168" s="2" t="n">
        <v>3</v>
      </c>
      <c r="O168" s="2" t="s">
        <v>180</v>
      </c>
      <c r="P168" s="34" t="b">
        <f aca="false">FALSE()</f>
        <v>0</v>
      </c>
      <c r="Q168" s="34" t="b">
        <f aca="false">FALSE()</f>
        <v>0</v>
      </c>
      <c r="R168" s="2" t="n">
        <v>5</v>
      </c>
      <c r="S168" s="2" t="s">
        <v>161</v>
      </c>
      <c r="T168" s="2" t="s">
        <v>246</v>
      </c>
      <c r="U168" s="2" t="s">
        <v>172</v>
      </c>
      <c r="V168" s="34" t="b">
        <f aca="false">FALSE()</f>
        <v>0</v>
      </c>
      <c r="W168" s="2" t="s">
        <v>139</v>
      </c>
      <c r="X168" s="2" t="s">
        <v>228</v>
      </c>
      <c r="Y168" s="34" t="b">
        <f aca="false">TRUE()</f>
        <v>1</v>
      </c>
      <c r="Z168" s="2" t="s">
        <v>144</v>
      </c>
      <c r="AA168" s="2" t="s">
        <v>229</v>
      </c>
      <c r="AB168" s="34" t="b">
        <f aca="false">TRUE()</f>
        <v>1</v>
      </c>
      <c r="AC168" s="35"/>
      <c r="AD168" s="35" t="n">
        <v>3852</v>
      </c>
      <c r="AE168" s="2" t="s">
        <v>230</v>
      </c>
      <c r="AF168" s="35"/>
      <c r="AG168" s="34" t="b">
        <f aca="false">FALSE()</f>
        <v>0</v>
      </c>
      <c r="AH168" s="2"/>
    </row>
    <row r="169" customFormat="false" ht="15" hidden="false" customHeight="false" outlineLevel="0" collapsed="false">
      <c r="A169" s="2" t="s">
        <v>492</v>
      </c>
      <c r="B169" s="2" t="s">
        <v>493</v>
      </c>
      <c r="C169" s="2" t="n">
        <v>13</v>
      </c>
      <c r="D169" s="2" t="s">
        <v>147</v>
      </c>
      <c r="E169" s="2" t="s">
        <v>154</v>
      </c>
      <c r="F169" s="2" t="s">
        <v>233</v>
      </c>
      <c r="G169" s="2" t="s">
        <v>111</v>
      </c>
      <c r="H169" s="2" t="s">
        <v>275</v>
      </c>
      <c r="I169" s="2" t="s">
        <v>122</v>
      </c>
      <c r="J169" s="2" t="s">
        <v>129</v>
      </c>
      <c r="K169" s="2" t="s">
        <v>260</v>
      </c>
      <c r="L169" s="33" t="n">
        <v>44932</v>
      </c>
      <c r="M169" s="33" t="n">
        <v>44936</v>
      </c>
      <c r="N169" s="2" t="n">
        <v>4</v>
      </c>
      <c r="O169" s="2" t="s">
        <v>181</v>
      </c>
      <c r="P169" s="34" t="b">
        <f aca="false">FALSE()</f>
        <v>0</v>
      </c>
      <c r="Q169" s="34" t="b">
        <f aca="false">FALSE()</f>
        <v>0</v>
      </c>
      <c r="R169" s="2" t="n">
        <v>1</v>
      </c>
      <c r="S169" s="2" t="s">
        <v>157</v>
      </c>
      <c r="T169" s="2" t="s">
        <v>234</v>
      </c>
      <c r="U169" s="2" t="s">
        <v>177</v>
      </c>
      <c r="V169" s="34" t="b">
        <f aca="false">TRUE()</f>
        <v>1</v>
      </c>
      <c r="W169" s="2" t="s">
        <v>137</v>
      </c>
      <c r="X169" s="2" t="s">
        <v>235</v>
      </c>
      <c r="Y169" s="34" t="b">
        <f aca="false">FALSE()</f>
        <v>0</v>
      </c>
      <c r="Z169" s="2" t="s">
        <v>142</v>
      </c>
      <c r="AA169" s="2" t="s">
        <v>256</v>
      </c>
      <c r="AB169" s="34" t="b">
        <f aca="false">FALSE()</f>
        <v>0</v>
      </c>
      <c r="AC169" s="35"/>
      <c r="AD169" s="35" t="n">
        <v>999</v>
      </c>
      <c r="AE169" s="2" t="s">
        <v>257</v>
      </c>
      <c r="AF169" s="35"/>
      <c r="AG169" s="34" t="b">
        <f aca="false">FALSE()</f>
        <v>0</v>
      </c>
      <c r="AH169" s="2"/>
    </row>
    <row r="170" customFormat="false" ht="15" hidden="false" customHeight="false" outlineLevel="0" collapsed="false">
      <c r="A170" s="2" t="s">
        <v>494</v>
      </c>
      <c r="B170" s="2" t="s">
        <v>345</v>
      </c>
      <c r="C170" s="2" t="n">
        <v>13</v>
      </c>
      <c r="D170" s="2" t="s">
        <v>147</v>
      </c>
      <c r="E170" s="2" t="s">
        <v>153</v>
      </c>
      <c r="F170" s="2" t="s">
        <v>224</v>
      </c>
      <c r="G170" s="2" t="s">
        <v>111</v>
      </c>
      <c r="H170" s="2" t="s">
        <v>275</v>
      </c>
      <c r="I170" s="2" t="s">
        <v>122</v>
      </c>
      <c r="J170" s="2" t="s">
        <v>133</v>
      </c>
      <c r="K170" s="2" t="s">
        <v>255</v>
      </c>
      <c r="L170" s="33" t="n">
        <v>45202</v>
      </c>
      <c r="M170" s="33" t="n">
        <v>45205</v>
      </c>
      <c r="N170" s="2" t="n">
        <v>3</v>
      </c>
      <c r="O170" s="2" t="s">
        <v>180</v>
      </c>
      <c r="P170" s="34" t="b">
        <f aca="false">FALSE()</f>
        <v>0</v>
      </c>
      <c r="Q170" s="34" t="b">
        <f aca="false">FALSE()</f>
        <v>0</v>
      </c>
      <c r="R170" s="2" t="n">
        <v>10</v>
      </c>
      <c r="S170" s="2" t="s">
        <v>166</v>
      </c>
      <c r="T170" s="2" t="s">
        <v>241</v>
      </c>
      <c r="U170" s="2" t="s">
        <v>174</v>
      </c>
      <c r="V170" s="34" t="b">
        <f aca="false">FALSE()</f>
        <v>0</v>
      </c>
      <c r="W170" s="2" t="s">
        <v>138</v>
      </c>
      <c r="X170" s="2" t="s">
        <v>250</v>
      </c>
      <c r="Y170" s="34" t="b">
        <f aca="false">FALSE()</f>
        <v>0</v>
      </c>
      <c r="Z170" s="2" t="s">
        <v>143</v>
      </c>
      <c r="AA170" s="2" t="s">
        <v>236</v>
      </c>
      <c r="AB170" s="34" t="b">
        <f aca="false">FALSE()</f>
        <v>0</v>
      </c>
      <c r="AC170" s="35"/>
      <c r="AD170" s="35" t="n">
        <v>3852</v>
      </c>
      <c r="AE170" s="2" t="s">
        <v>230</v>
      </c>
      <c r="AF170" s="35"/>
      <c r="AG170" s="34" t="b">
        <f aca="false">FALSE()</f>
        <v>0</v>
      </c>
      <c r="AH170" s="2"/>
    </row>
    <row r="171" customFormat="false" ht="15" hidden="false" customHeight="false" outlineLevel="0" collapsed="false">
      <c r="A171" s="2" t="s">
        <v>495</v>
      </c>
      <c r="B171" s="2" t="s">
        <v>354</v>
      </c>
      <c r="C171" s="2" t="n">
        <v>68</v>
      </c>
      <c r="D171" s="2" t="s">
        <v>150</v>
      </c>
      <c r="E171" s="2" t="s">
        <v>153</v>
      </c>
      <c r="F171" s="2" t="s">
        <v>224</v>
      </c>
      <c r="G171" s="2" t="s">
        <v>111</v>
      </c>
      <c r="H171" s="2" t="s">
        <v>275</v>
      </c>
      <c r="I171" s="2" t="s">
        <v>122</v>
      </c>
      <c r="J171" s="2" t="s">
        <v>129</v>
      </c>
      <c r="K171" s="2" t="s">
        <v>260</v>
      </c>
      <c r="L171" s="33" t="n">
        <v>45089</v>
      </c>
      <c r="M171" s="33" t="n">
        <v>45098</v>
      </c>
      <c r="N171" s="2" t="n">
        <v>9</v>
      </c>
      <c r="O171" s="2" t="s">
        <v>182</v>
      </c>
      <c r="P171" s="34" t="b">
        <f aca="false">TRUE()</f>
        <v>1</v>
      </c>
      <c r="Q171" s="34" t="b">
        <f aca="false">FALSE()</f>
        <v>0</v>
      </c>
      <c r="R171" s="2" t="n">
        <v>6</v>
      </c>
      <c r="S171" s="2" t="s">
        <v>162</v>
      </c>
      <c r="T171" s="2" t="s">
        <v>246</v>
      </c>
      <c r="U171" s="2" t="s">
        <v>173</v>
      </c>
      <c r="V171" s="34" t="b">
        <f aca="false">FALSE()</f>
        <v>0</v>
      </c>
      <c r="W171" s="2" t="s">
        <v>137</v>
      </c>
      <c r="X171" s="2" t="s">
        <v>235</v>
      </c>
      <c r="Y171" s="34" t="b">
        <f aca="false">FALSE()</f>
        <v>0</v>
      </c>
      <c r="Z171" s="2" t="s">
        <v>143</v>
      </c>
      <c r="AA171" s="2" t="s">
        <v>236</v>
      </c>
      <c r="AB171" s="34" t="b">
        <f aca="false">FALSE()</f>
        <v>0</v>
      </c>
      <c r="AC171" s="35"/>
      <c r="AD171" s="35" t="n">
        <v>999</v>
      </c>
      <c r="AE171" s="2" t="s">
        <v>257</v>
      </c>
      <c r="AF171" s="35"/>
      <c r="AG171" s="34" t="b">
        <f aca="false">FALSE()</f>
        <v>0</v>
      </c>
      <c r="AH171" s="2"/>
    </row>
    <row r="172" customFormat="false" ht="15" hidden="false" customHeight="false" outlineLevel="0" collapsed="false">
      <c r="A172" s="2" t="s">
        <v>496</v>
      </c>
      <c r="B172" s="2" t="s">
        <v>497</v>
      </c>
      <c r="C172" s="2" t="n">
        <v>89</v>
      </c>
      <c r="D172" s="2" t="s">
        <v>150</v>
      </c>
      <c r="E172" s="2" t="s">
        <v>153</v>
      </c>
      <c r="F172" s="2" t="s">
        <v>224</v>
      </c>
      <c r="G172" s="2" t="s">
        <v>111</v>
      </c>
      <c r="H172" s="2" t="s">
        <v>275</v>
      </c>
      <c r="I172" s="2" t="s">
        <v>122</v>
      </c>
      <c r="J172" s="2" t="s">
        <v>129</v>
      </c>
      <c r="K172" s="2" t="s">
        <v>260</v>
      </c>
      <c r="L172" s="33" t="n">
        <v>45130</v>
      </c>
      <c r="M172" s="33" t="n">
        <v>45131</v>
      </c>
      <c r="N172" s="2" t="n">
        <v>1</v>
      </c>
      <c r="O172" s="2" t="s">
        <v>180</v>
      </c>
      <c r="P172" s="34" t="b">
        <f aca="false">FALSE()</f>
        <v>0</v>
      </c>
      <c r="Q172" s="34" t="b">
        <f aca="false">FALSE()</f>
        <v>0</v>
      </c>
      <c r="R172" s="2" t="n">
        <v>7</v>
      </c>
      <c r="S172" s="2" t="s">
        <v>163</v>
      </c>
      <c r="T172" s="2" t="s">
        <v>227</v>
      </c>
      <c r="U172" s="2" t="s">
        <v>172</v>
      </c>
      <c r="V172" s="34" t="b">
        <f aca="false">FALSE()</f>
        <v>0</v>
      </c>
      <c r="W172" s="2" t="s">
        <v>139</v>
      </c>
      <c r="X172" s="2" t="s">
        <v>228</v>
      </c>
      <c r="Y172" s="34" t="b">
        <f aca="false">TRUE()</f>
        <v>1</v>
      </c>
      <c r="Z172" s="2" t="s">
        <v>142</v>
      </c>
      <c r="AA172" s="2" t="s">
        <v>256</v>
      </c>
      <c r="AB172" s="34" t="b">
        <f aca="false">FALSE()</f>
        <v>0</v>
      </c>
      <c r="AC172" s="35"/>
      <c r="AD172" s="35" t="n">
        <v>3852</v>
      </c>
      <c r="AE172" s="2" t="s">
        <v>230</v>
      </c>
      <c r="AF172" s="35"/>
      <c r="AG172" s="34" t="b">
        <f aca="false">FALSE()</f>
        <v>0</v>
      </c>
      <c r="AH172" s="2"/>
    </row>
    <row r="173" customFormat="false" ht="15" hidden="false" customHeight="false" outlineLevel="0" collapsed="false">
      <c r="A173" s="2" t="s">
        <v>498</v>
      </c>
      <c r="B173" s="2" t="s">
        <v>310</v>
      </c>
      <c r="C173" s="2" t="n">
        <v>82</v>
      </c>
      <c r="D173" s="2" t="s">
        <v>150</v>
      </c>
      <c r="E173" s="2" t="s">
        <v>154</v>
      </c>
      <c r="F173" s="2" t="s">
        <v>233</v>
      </c>
      <c r="G173" s="2" t="s">
        <v>111</v>
      </c>
      <c r="H173" s="2" t="s">
        <v>275</v>
      </c>
      <c r="I173" s="2" t="s">
        <v>122</v>
      </c>
      <c r="J173" s="2" t="s">
        <v>131</v>
      </c>
      <c r="K173" s="2" t="s">
        <v>263</v>
      </c>
      <c r="L173" s="33" t="n">
        <v>45187</v>
      </c>
      <c r="M173" s="33" t="n">
        <v>45193</v>
      </c>
      <c r="N173" s="2" t="n">
        <v>6</v>
      </c>
      <c r="O173" s="2" t="s">
        <v>181</v>
      </c>
      <c r="P173" s="34" t="b">
        <f aca="false">FALSE()</f>
        <v>0</v>
      </c>
      <c r="Q173" s="34" t="b">
        <f aca="false">FALSE()</f>
        <v>0</v>
      </c>
      <c r="R173" s="2" t="n">
        <v>9</v>
      </c>
      <c r="S173" s="2" t="s">
        <v>165</v>
      </c>
      <c r="T173" s="2" t="s">
        <v>227</v>
      </c>
      <c r="U173" s="2" t="s">
        <v>173</v>
      </c>
      <c r="V173" s="34" t="b">
        <f aca="false">FALSE()</f>
        <v>0</v>
      </c>
      <c r="W173" s="2" t="s">
        <v>138</v>
      </c>
      <c r="X173" s="2" t="s">
        <v>250</v>
      </c>
      <c r="Y173" s="34" t="b">
        <f aca="false">FALSE()</f>
        <v>0</v>
      </c>
      <c r="Z173" s="2" t="s">
        <v>144</v>
      </c>
      <c r="AA173" s="2" t="s">
        <v>229</v>
      </c>
      <c r="AB173" s="34" t="b">
        <f aca="false">TRUE()</f>
        <v>1</v>
      </c>
      <c r="AC173" s="35"/>
      <c r="AD173" s="35" t="n">
        <v>3852</v>
      </c>
      <c r="AE173" s="2" t="s">
        <v>230</v>
      </c>
      <c r="AF173" s="35"/>
      <c r="AG173" s="34" t="b">
        <f aca="false">FALSE()</f>
        <v>0</v>
      </c>
      <c r="AH173" s="2"/>
    </row>
    <row r="174" customFormat="false" ht="15" hidden="false" customHeight="false" outlineLevel="0" collapsed="false">
      <c r="A174" s="2" t="s">
        <v>499</v>
      </c>
      <c r="B174" s="2" t="s">
        <v>303</v>
      </c>
      <c r="C174" s="2" t="n">
        <v>29</v>
      </c>
      <c r="D174" s="2" t="s">
        <v>148</v>
      </c>
      <c r="E174" s="2" t="s">
        <v>154</v>
      </c>
      <c r="F174" s="2" t="s">
        <v>233</v>
      </c>
      <c r="G174" s="2" t="s">
        <v>111</v>
      </c>
      <c r="H174" s="2" t="s">
        <v>275</v>
      </c>
      <c r="I174" s="2" t="s">
        <v>122</v>
      </c>
      <c r="J174" s="2" t="s">
        <v>129</v>
      </c>
      <c r="K174" s="2" t="s">
        <v>260</v>
      </c>
      <c r="L174" s="33" t="n">
        <v>45062</v>
      </c>
      <c r="M174" s="33" t="n">
        <v>45083</v>
      </c>
      <c r="N174" s="2" t="n">
        <v>21</v>
      </c>
      <c r="O174" s="2" t="s">
        <v>183</v>
      </c>
      <c r="P174" s="34" t="b">
        <f aca="false">TRUE()</f>
        <v>1</v>
      </c>
      <c r="Q174" s="34" t="b">
        <f aca="false">TRUE()</f>
        <v>1</v>
      </c>
      <c r="R174" s="2" t="n">
        <v>5</v>
      </c>
      <c r="S174" s="2" t="s">
        <v>161</v>
      </c>
      <c r="T174" s="2" t="s">
        <v>246</v>
      </c>
      <c r="U174" s="2" t="s">
        <v>174</v>
      </c>
      <c r="V174" s="34" t="b">
        <f aca="false">FALSE()</f>
        <v>0</v>
      </c>
      <c r="W174" s="2" t="s">
        <v>138</v>
      </c>
      <c r="X174" s="2" t="s">
        <v>250</v>
      </c>
      <c r="Y174" s="34" t="b">
        <f aca="false">FALSE()</f>
        <v>0</v>
      </c>
      <c r="Z174" s="2" t="s">
        <v>144</v>
      </c>
      <c r="AA174" s="2" t="s">
        <v>229</v>
      </c>
      <c r="AB174" s="34" t="b">
        <f aca="false">TRUE()</f>
        <v>1</v>
      </c>
      <c r="AC174" s="35"/>
      <c r="AD174" s="35" t="n">
        <v>3852</v>
      </c>
      <c r="AE174" s="2" t="s">
        <v>230</v>
      </c>
      <c r="AF174" s="35"/>
      <c r="AG174" s="34" t="b">
        <f aca="false">FALSE()</f>
        <v>0</v>
      </c>
      <c r="AH174" s="2" t="s">
        <v>283</v>
      </c>
    </row>
    <row r="175" customFormat="false" ht="15" hidden="false" customHeight="false" outlineLevel="0" collapsed="false">
      <c r="A175" s="2" t="s">
        <v>500</v>
      </c>
      <c r="B175" s="2" t="s">
        <v>501</v>
      </c>
      <c r="C175" s="2" t="n">
        <v>58</v>
      </c>
      <c r="D175" s="2" t="s">
        <v>149</v>
      </c>
      <c r="E175" s="2" t="s">
        <v>153</v>
      </c>
      <c r="F175" s="2" t="s">
        <v>224</v>
      </c>
      <c r="G175" s="2" t="s">
        <v>111</v>
      </c>
      <c r="H175" s="2" t="s">
        <v>275</v>
      </c>
      <c r="I175" s="2" t="s">
        <v>122</v>
      </c>
      <c r="J175" s="2" t="s">
        <v>129</v>
      </c>
      <c r="K175" s="2" t="s">
        <v>260</v>
      </c>
      <c r="L175" s="33" t="n">
        <v>44976</v>
      </c>
      <c r="M175" s="33" t="n">
        <v>44996</v>
      </c>
      <c r="N175" s="2" t="n">
        <v>20</v>
      </c>
      <c r="O175" s="2" t="s">
        <v>183</v>
      </c>
      <c r="P175" s="34" t="b">
        <f aca="false">TRUE()</f>
        <v>1</v>
      </c>
      <c r="Q175" s="34" t="b">
        <f aca="false">TRUE()</f>
        <v>1</v>
      </c>
      <c r="R175" s="2" t="n">
        <v>2</v>
      </c>
      <c r="S175" s="2" t="s">
        <v>158</v>
      </c>
      <c r="T175" s="2" t="s">
        <v>234</v>
      </c>
      <c r="U175" s="2" t="s">
        <v>172</v>
      </c>
      <c r="V175" s="34" t="b">
        <f aca="false">FALSE()</f>
        <v>0</v>
      </c>
      <c r="W175" s="2" t="s">
        <v>137</v>
      </c>
      <c r="X175" s="2" t="s">
        <v>235</v>
      </c>
      <c r="Y175" s="34" t="b">
        <f aca="false">FALSE()</f>
        <v>0</v>
      </c>
      <c r="Z175" s="2" t="s">
        <v>144</v>
      </c>
      <c r="AA175" s="2" t="s">
        <v>229</v>
      </c>
      <c r="AB175" s="34" t="b">
        <f aca="false">TRUE()</f>
        <v>1</v>
      </c>
      <c r="AC175" s="35"/>
      <c r="AD175" s="35" t="n">
        <v>3852</v>
      </c>
      <c r="AE175" s="2" t="s">
        <v>230</v>
      </c>
      <c r="AF175" s="35"/>
      <c r="AG175" s="34" t="b">
        <f aca="false">FALSE()</f>
        <v>0</v>
      </c>
      <c r="AH175" s="2" t="s">
        <v>283</v>
      </c>
    </row>
    <row r="176" customFormat="false" ht="15" hidden="false" customHeight="false" outlineLevel="0" collapsed="false">
      <c r="A176" s="2" t="s">
        <v>502</v>
      </c>
      <c r="B176" s="2" t="s">
        <v>454</v>
      </c>
      <c r="C176" s="2" t="n">
        <v>77</v>
      </c>
      <c r="D176" s="2" t="s">
        <v>150</v>
      </c>
      <c r="E176" s="2" t="s">
        <v>153</v>
      </c>
      <c r="F176" s="2" t="s">
        <v>224</v>
      </c>
      <c r="G176" s="2" t="s">
        <v>111</v>
      </c>
      <c r="H176" s="2" t="s">
        <v>275</v>
      </c>
      <c r="I176" s="2" t="s">
        <v>122</v>
      </c>
      <c r="J176" s="2" t="s">
        <v>132</v>
      </c>
      <c r="K176" s="2" t="s">
        <v>249</v>
      </c>
      <c r="L176" s="33" t="n">
        <v>45060</v>
      </c>
      <c r="M176" s="33" t="n">
        <v>45065</v>
      </c>
      <c r="N176" s="2" t="n">
        <v>5</v>
      </c>
      <c r="O176" s="2" t="s">
        <v>181</v>
      </c>
      <c r="P176" s="34" t="b">
        <f aca="false">FALSE()</f>
        <v>0</v>
      </c>
      <c r="Q176" s="34" t="b">
        <f aca="false">FALSE()</f>
        <v>0</v>
      </c>
      <c r="R176" s="2" t="n">
        <v>5</v>
      </c>
      <c r="S176" s="2" t="s">
        <v>161</v>
      </c>
      <c r="T176" s="2" t="s">
        <v>246</v>
      </c>
      <c r="U176" s="2" t="s">
        <v>172</v>
      </c>
      <c r="V176" s="34" t="b">
        <f aca="false">FALSE()</f>
        <v>0</v>
      </c>
      <c r="W176" s="2" t="s">
        <v>137</v>
      </c>
      <c r="X176" s="2" t="s">
        <v>235</v>
      </c>
      <c r="Y176" s="34" t="b">
        <f aca="false">FALSE()</f>
        <v>0</v>
      </c>
      <c r="Z176" s="2" t="s">
        <v>144</v>
      </c>
      <c r="AA176" s="2" t="s">
        <v>229</v>
      </c>
      <c r="AB176" s="34" t="b">
        <f aca="false">TRUE()</f>
        <v>1</v>
      </c>
      <c r="AC176" s="35"/>
      <c r="AD176" s="35" t="n">
        <v>999</v>
      </c>
      <c r="AE176" s="2" t="s">
        <v>257</v>
      </c>
      <c r="AF176" s="35"/>
      <c r="AG176" s="34" t="b">
        <f aca="false">FALSE()</f>
        <v>0</v>
      </c>
      <c r="AH176" s="2"/>
    </row>
    <row r="177" customFormat="false" ht="15" hidden="false" customHeight="false" outlineLevel="0" collapsed="false">
      <c r="A177" s="2" t="s">
        <v>503</v>
      </c>
      <c r="B177" s="2" t="s">
        <v>358</v>
      </c>
      <c r="C177" s="2" t="n">
        <v>43</v>
      </c>
      <c r="D177" s="2" t="s">
        <v>149</v>
      </c>
      <c r="E177" s="2" t="s">
        <v>153</v>
      </c>
      <c r="F177" s="2" t="s">
        <v>224</v>
      </c>
      <c r="G177" s="2" t="s">
        <v>111</v>
      </c>
      <c r="H177" s="2" t="s">
        <v>275</v>
      </c>
      <c r="I177" s="2" t="s">
        <v>122</v>
      </c>
      <c r="J177" s="2" t="s">
        <v>130</v>
      </c>
      <c r="K177" s="2" t="s">
        <v>245</v>
      </c>
      <c r="L177" s="33" t="n">
        <v>45028</v>
      </c>
      <c r="M177" s="33" t="n">
        <v>45030</v>
      </c>
      <c r="N177" s="2" t="n">
        <v>2</v>
      </c>
      <c r="O177" s="2" t="s">
        <v>180</v>
      </c>
      <c r="P177" s="34" t="b">
        <f aca="false">FALSE()</f>
        <v>0</v>
      </c>
      <c r="Q177" s="34" t="b">
        <f aca="false">FALSE()</f>
        <v>0</v>
      </c>
      <c r="R177" s="2" t="n">
        <v>4</v>
      </c>
      <c r="S177" s="2" t="s">
        <v>160</v>
      </c>
      <c r="T177" s="2" t="s">
        <v>246</v>
      </c>
      <c r="U177" s="2" t="s">
        <v>175</v>
      </c>
      <c r="V177" s="34" t="b">
        <f aca="false">FALSE()</f>
        <v>0</v>
      </c>
      <c r="W177" s="2" t="s">
        <v>138</v>
      </c>
      <c r="X177" s="2" t="s">
        <v>250</v>
      </c>
      <c r="Y177" s="34" t="b">
        <f aca="false">FALSE()</f>
        <v>0</v>
      </c>
      <c r="Z177" s="2" t="s">
        <v>144</v>
      </c>
      <c r="AA177" s="2" t="s">
        <v>229</v>
      </c>
      <c r="AB177" s="34" t="b">
        <f aca="false">TRUE()</f>
        <v>1</v>
      </c>
      <c r="AC177" s="35" t="n">
        <v>2213</v>
      </c>
      <c r="AD177" s="35" t="n">
        <v>2213</v>
      </c>
      <c r="AE177" s="2" t="s">
        <v>242</v>
      </c>
      <c r="AF177" s="35" t="n">
        <v>1106.5</v>
      </c>
      <c r="AG177" s="34" t="b">
        <f aca="false">FALSE()</f>
        <v>0</v>
      </c>
      <c r="AH177" s="2"/>
    </row>
    <row r="178" customFormat="false" ht="15" hidden="false" customHeight="false" outlineLevel="0" collapsed="false">
      <c r="A178" s="2" t="s">
        <v>504</v>
      </c>
      <c r="B178" s="2" t="s">
        <v>310</v>
      </c>
      <c r="C178" s="2" t="n">
        <v>50</v>
      </c>
      <c r="D178" s="2" t="s">
        <v>149</v>
      </c>
      <c r="E178" s="2" t="s">
        <v>154</v>
      </c>
      <c r="F178" s="2" t="s">
        <v>233</v>
      </c>
      <c r="G178" s="2" t="s">
        <v>111</v>
      </c>
      <c r="H178" s="2" t="s">
        <v>275</v>
      </c>
      <c r="I178" s="2" t="s">
        <v>122</v>
      </c>
      <c r="J178" s="2" t="s">
        <v>132</v>
      </c>
      <c r="K178" s="2" t="s">
        <v>249</v>
      </c>
      <c r="L178" s="33" t="n">
        <v>45245</v>
      </c>
      <c r="M178" s="33" t="n">
        <v>45257</v>
      </c>
      <c r="N178" s="2" t="n">
        <v>12</v>
      </c>
      <c r="O178" s="2" t="s">
        <v>182</v>
      </c>
      <c r="P178" s="34" t="b">
        <f aca="false">TRUE()</f>
        <v>1</v>
      </c>
      <c r="Q178" s="34" t="b">
        <f aca="false">FALSE()</f>
        <v>0</v>
      </c>
      <c r="R178" s="2" t="n">
        <v>11</v>
      </c>
      <c r="S178" s="2" t="s">
        <v>167</v>
      </c>
      <c r="T178" s="2" t="s">
        <v>241</v>
      </c>
      <c r="U178" s="2" t="s">
        <v>175</v>
      </c>
      <c r="V178" s="34" t="b">
        <f aca="false">FALSE()</f>
        <v>0</v>
      </c>
      <c r="W178" s="2" t="s">
        <v>139</v>
      </c>
      <c r="X178" s="2" t="s">
        <v>228</v>
      </c>
      <c r="Y178" s="34" t="b">
        <f aca="false">TRUE()</f>
        <v>1</v>
      </c>
      <c r="Z178" s="2" t="s">
        <v>143</v>
      </c>
      <c r="AA178" s="2" t="s">
        <v>236</v>
      </c>
      <c r="AB178" s="34" t="b">
        <f aca="false">FALSE()</f>
        <v>0</v>
      </c>
      <c r="AC178" s="35"/>
      <c r="AD178" s="35" t="n">
        <v>999</v>
      </c>
      <c r="AE178" s="2" t="s">
        <v>257</v>
      </c>
      <c r="AF178" s="35"/>
      <c r="AG178" s="34" t="b">
        <f aca="false">FALSE()</f>
        <v>0</v>
      </c>
      <c r="AH178" s="2"/>
    </row>
    <row r="179" customFormat="false" ht="15" hidden="false" customHeight="false" outlineLevel="0" collapsed="false">
      <c r="A179" s="2" t="s">
        <v>505</v>
      </c>
      <c r="B179" s="2" t="s">
        <v>280</v>
      </c>
      <c r="C179" s="2" t="n">
        <v>36</v>
      </c>
      <c r="D179" s="2" t="s">
        <v>148</v>
      </c>
      <c r="E179" s="2" t="s">
        <v>153</v>
      </c>
      <c r="F179" s="2" t="s">
        <v>224</v>
      </c>
      <c r="G179" s="2" t="s">
        <v>111</v>
      </c>
      <c r="H179" s="2" t="s">
        <v>275</v>
      </c>
      <c r="I179" s="2" t="s">
        <v>122</v>
      </c>
      <c r="J179" s="2" t="s">
        <v>128</v>
      </c>
      <c r="K179" s="2" t="s">
        <v>226</v>
      </c>
      <c r="L179" s="33" t="n">
        <v>45110</v>
      </c>
      <c r="M179" s="33" t="n">
        <v>45112</v>
      </c>
      <c r="N179" s="2" t="n">
        <v>2</v>
      </c>
      <c r="O179" s="2" t="s">
        <v>180</v>
      </c>
      <c r="P179" s="34" t="b">
        <f aca="false">FALSE()</f>
        <v>0</v>
      </c>
      <c r="Q179" s="34" t="b">
        <f aca="false">FALSE()</f>
        <v>0</v>
      </c>
      <c r="R179" s="2" t="n">
        <v>7</v>
      </c>
      <c r="S179" s="2" t="s">
        <v>163</v>
      </c>
      <c r="T179" s="2" t="s">
        <v>227</v>
      </c>
      <c r="U179" s="2" t="s">
        <v>173</v>
      </c>
      <c r="V179" s="34" t="b">
        <f aca="false">FALSE()</f>
        <v>0</v>
      </c>
      <c r="W179" s="2" t="s">
        <v>139</v>
      </c>
      <c r="X179" s="2" t="s">
        <v>228</v>
      </c>
      <c r="Y179" s="34" t="b">
        <f aca="false">TRUE()</f>
        <v>1</v>
      </c>
      <c r="Z179" s="2" t="s">
        <v>144</v>
      </c>
      <c r="AA179" s="2" t="s">
        <v>229</v>
      </c>
      <c r="AB179" s="34" t="b">
        <f aca="false">TRUE()</f>
        <v>1</v>
      </c>
      <c r="AC179" s="35"/>
      <c r="AD179" s="35" t="n">
        <v>999</v>
      </c>
      <c r="AE179" s="2" t="s">
        <v>257</v>
      </c>
      <c r="AF179" s="35"/>
      <c r="AG179" s="34" t="b">
        <f aca="false">TRUE()</f>
        <v>1</v>
      </c>
      <c r="AH179" s="2"/>
    </row>
    <row r="180" customFormat="false" ht="15" hidden="false" customHeight="false" outlineLevel="0" collapsed="false">
      <c r="A180" s="2" t="s">
        <v>506</v>
      </c>
      <c r="B180" s="2" t="s">
        <v>421</v>
      </c>
      <c r="C180" s="2" t="n">
        <v>36</v>
      </c>
      <c r="D180" s="2" t="s">
        <v>148</v>
      </c>
      <c r="E180" s="2" t="s">
        <v>153</v>
      </c>
      <c r="F180" s="2" t="s">
        <v>224</v>
      </c>
      <c r="G180" s="2" t="s">
        <v>111</v>
      </c>
      <c r="H180" s="2" t="s">
        <v>275</v>
      </c>
      <c r="I180" s="2" t="s">
        <v>122</v>
      </c>
      <c r="J180" s="2" t="s">
        <v>134</v>
      </c>
      <c r="K180" s="2" t="s">
        <v>240</v>
      </c>
      <c r="L180" s="33" t="n">
        <v>45134</v>
      </c>
      <c r="M180" s="33" t="n">
        <v>45136</v>
      </c>
      <c r="N180" s="2" t="n">
        <v>2</v>
      </c>
      <c r="O180" s="2" t="s">
        <v>180</v>
      </c>
      <c r="P180" s="34" t="b">
        <f aca="false">FALSE()</f>
        <v>0</v>
      </c>
      <c r="Q180" s="34" t="b">
        <f aca="false">FALSE()</f>
        <v>0</v>
      </c>
      <c r="R180" s="2" t="n">
        <v>7</v>
      </c>
      <c r="S180" s="2" t="s">
        <v>163</v>
      </c>
      <c r="T180" s="2" t="s">
        <v>227</v>
      </c>
      <c r="U180" s="2" t="s">
        <v>176</v>
      </c>
      <c r="V180" s="34" t="b">
        <f aca="false">FALSE()</f>
        <v>0</v>
      </c>
      <c r="W180" s="2" t="s">
        <v>137</v>
      </c>
      <c r="X180" s="2" t="s">
        <v>235</v>
      </c>
      <c r="Y180" s="34" t="b">
        <f aca="false">FALSE()</f>
        <v>0</v>
      </c>
      <c r="Z180" s="2" t="s">
        <v>144</v>
      </c>
      <c r="AA180" s="2" t="s">
        <v>229</v>
      </c>
      <c r="AB180" s="34" t="b">
        <f aca="false">TRUE()</f>
        <v>1</v>
      </c>
      <c r="AC180" s="35"/>
      <c r="AD180" s="35" t="n">
        <v>3852</v>
      </c>
      <c r="AE180" s="2" t="s">
        <v>230</v>
      </c>
      <c r="AF180" s="35"/>
      <c r="AG180" s="34" t="b">
        <f aca="false">FALSE()</f>
        <v>0</v>
      </c>
      <c r="AH180" s="2"/>
    </row>
    <row r="181" customFormat="false" ht="15" hidden="false" customHeight="false" outlineLevel="0" collapsed="false">
      <c r="A181" s="2" t="s">
        <v>507</v>
      </c>
      <c r="B181" s="2" t="s">
        <v>223</v>
      </c>
      <c r="C181" s="2" t="n">
        <v>24</v>
      </c>
      <c r="D181" s="2" t="s">
        <v>148</v>
      </c>
      <c r="E181" s="2" t="s">
        <v>153</v>
      </c>
      <c r="F181" s="2" t="s">
        <v>224</v>
      </c>
      <c r="G181" s="2" t="s">
        <v>111</v>
      </c>
      <c r="H181" s="2" t="s">
        <v>275</v>
      </c>
      <c r="I181" s="2" t="s">
        <v>122</v>
      </c>
      <c r="J181" s="2" t="s">
        <v>129</v>
      </c>
      <c r="K181" s="2" t="s">
        <v>260</v>
      </c>
      <c r="L181" s="33" t="n">
        <v>45192</v>
      </c>
      <c r="M181" s="33" t="n">
        <v>45194</v>
      </c>
      <c r="N181" s="2" t="n">
        <v>2</v>
      </c>
      <c r="O181" s="2" t="s">
        <v>180</v>
      </c>
      <c r="P181" s="34" t="b">
        <f aca="false">FALSE()</f>
        <v>0</v>
      </c>
      <c r="Q181" s="34" t="b">
        <f aca="false">FALSE()</f>
        <v>0</v>
      </c>
      <c r="R181" s="2" t="n">
        <v>9</v>
      </c>
      <c r="S181" s="2" t="s">
        <v>165</v>
      </c>
      <c r="T181" s="2" t="s">
        <v>227</v>
      </c>
      <c r="U181" s="2" t="s">
        <v>171</v>
      </c>
      <c r="V181" s="34" t="b">
        <f aca="false">TRUE()</f>
        <v>1</v>
      </c>
      <c r="W181" s="2" t="s">
        <v>137</v>
      </c>
      <c r="X181" s="2" t="s">
        <v>235</v>
      </c>
      <c r="Y181" s="34" t="b">
        <f aca="false">FALSE()</f>
        <v>0</v>
      </c>
      <c r="Z181" s="2" t="s">
        <v>144</v>
      </c>
      <c r="AA181" s="2" t="s">
        <v>229</v>
      </c>
      <c r="AB181" s="34" t="b">
        <f aca="false">TRUE()</f>
        <v>1</v>
      </c>
      <c r="AC181" s="35"/>
      <c r="AD181" s="35" t="n">
        <v>999</v>
      </c>
      <c r="AE181" s="2" t="s">
        <v>257</v>
      </c>
      <c r="AF181" s="35"/>
      <c r="AG181" s="34" t="b">
        <f aca="false">TRUE()</f>
        <v>1</v>
      </c>
      <c r="AH181" s="2"/>
    </row>
    <row r="182" customFormat="false" ht="15" hidden="false" customHeight="false" outlineLevel="0" collapsed="false">
      <c r="A182" s="2" t="s">
        <v>508</v>
      </c>
      <c r="B182" s="2" t="s">
        <v>509</v>
      </c>
      <c r="C182" s="2" t="n">
        <v>55</v>
      </c>
      <c r="D182" s="2" t="s">
        <v>149</v>
      </c>
      <c r="E182" s="2" t="s">
        <v>154</v>
      </c>
      <c r="F182" s="2" t="s">
        <v>233</v>
      </c>
      <c r="G182" s="2" t="s">
        <v>111</v>
      </c>
      <c r="H182" s="2" t="s">
        <v>275</v>
      </c>
      <c r="I182" s="2" t="s">
        <v>122</v>
      </c>
      <c r="J182" s="2" t="s">
        <v>130</v>
      </c>
      <c r="K182" s="2" t="s">
        <v>245</v>
      </c>
      <c r="L182" s="33" t="n">
        <v>44991</v>
      </c>
      <c r="M182" s="33" t="n">
        <v>44997</v>
      </c>
      <c r="N182" s="2" t="n">
        <v>6</v>
      </c>
      <c r="O182" s="2" t="s">
        <v>181</v>
      </c>
      <c r="P182" s="34" t="b">
        <f aca="false">FALSE()</f>
        <v>0</v>
      </c>
      <c r="Q182" s="34" t="b">
        <f aca="false">FALSE()</f>
        <v>0</v>
      </c>
      <c r="R182" s="2" t="n">
        <v>3</v>
      </c>
      <c r="S182" s="2" t="s">
        <v>159</v>
      </c>
      <c r="T182" s="2" t="s">
        <v>234</v>
      </c>
      <c r="U182" s="2" t="s">
        <v>173</v>
      </c>
      <c r="V182" s="34" t="b">
        <f aca="false">FALSE()</f>
        <v>0</v>
      </c>
      <c r="W182" s="2" t="s">
        <v>139</v>
      </c>
      <c r="X182" s="2" t="s">
        <v>228</v>
      </c>
      <c r="Y182" s="34" t="b">
        <f aca="false">TRUE()</f>
        <v>1</v>
      </c>
      <c r="Z182" s="2" t="s">
        <v>142</v>
      </c>
      <c r="AA182" s="2" t="s">
        <v>256</v>
      </c>
      <c r="AB182" s="34" t="b">
        <f aca="false">FALSE()</f>
        <v>0</v>
      </c>
      <c r="AC182" s="35" t="n">
        <v>1208</v>
      </c>
      <c r="AD182" s="35" t="n">
        <v>1208</v>
      </c>
      <c r="AE182" s="2" t="s">
        <v>242</v>
      </c>
      <c r="AF182" s="35" t="n">
        <v>201.33</v>
      </c>
      <c r="AG182" s="34" t="b">
        <f aca="false">FALSE()</f>
        <v>0</v>
      </c>
      <c r="AH182" s="2"/>
    </row>
    <row r="183" customFormat="false" ht="15" hidden="false" customHeight="false" outlineLevel="0" collapsed="false">
      <c r="A183" s="2" t="s">
        <v>510</v>
      </c>
      <c r="B183" s="2" t="s">
        <v>238</v>
      </c>
      <c r="C183" s="2" t="n">
        <v>68</v>
      </c>
      <c r="D183" s="2" t="s">
        <v>150</v>
      </c>
      <c r="E183" s="2" t="s">
        <v>153</v>
      </c>
      <c r="F183" s="2" t="s">
        <v>224</v>
      </c>
      <c r="G183" s="2" t="s">
        <v>111</v>
      </c>
      <c r="H183" s="2" t="s">
        <v>275</v>
      </c>
      <c r="I183" s="2" t="s">
        <v>122</v>
      </c>
      <c r="J183" s="2" t="s">
        <v>129</v>
      </c>
      <c r="K183" s="2" t="s">
        <v>260</v>
      </c>
      <c r="L183" s="33" t="n">
        <v>45056</v>
      </c>
      <c r="M183" s="33" t="n">
        <v>45059</v>
      </c>
      <c r="N183" s="2" t="n">
        <v>3</v>
      </c>
      <c r="O183" s="2" t="s">
        <v>180</v>
      </c>
      <c r="P183" s="34" t="b">
        <f aca="false">FALSE()</f>
        <v>0</v>
      </c>
      <c r="Q183" s="34" t="b">
        <f aca="false">FALSE()</f>
        <v>0</v>
      </c>
      <c r="R183" s="2" t="n">
        <v>5</v>
      </c>
      <c r="S183" s="2" t="s">
        <v>161</v>
      </c>
      <c r="T183" s="2" t="s">
        <v>246</v>
      </c>
      <c r="U183" s="2" t="s">
        <v>175</v>
      </c>
      <c r="V183" s="34" t="b">
        <f aca="false">FALSE()</f>
        <v>0</v>
      </c>
      <c r="W183" s="2" t="s">
        <v>138</v>
      </c>
      <c r="X183" s="2" t="s">
        <v>250</v>
      </c>
      <c r="Y183" s="34" t="b">
        <f aca="false">FALSE()</f>
        <v>0</v>
      </c>
      <c r="Z183" s="2" t="s">
        <v>143</v>
      </c>
      <c r="AA183" s="2" t="s">
        <v>236</v>
      </c>
      <c r="AB183" s="34" t="b">
        <f aca="false">FALSE()</f>
        <v>0</v>
      </c>
      <c r="AC183" s="35"/>
      <c r="AD183" s="35" t="n">
        <v>999</v>
      </c>
      <c r="AE183" s="2" t="s">
        <v>257</v>
      </c>
      <c r="AF183" s="35"/>
      <c r="AG183" s="34" t="b">
        <f aca="false">FALSE()</f>
        <v>0</v>
      </c>
      <c r="AH183" s="2"/>
    </row>
    <row r="184" customFormat="false" ht="15" hidden="false" customHeight="false" outlineLevel="0" collapsed="false">
      <c r="A184" s="2" t="s">
        <v>511</v>
      </c>
      <c r="B184" s="2" t="s">
        <v>379</v>
      </c>
      <c r="C184" s="2" t="n">
        <v>86</v>
      </c>
      <c r="D184" s="2" t="s">
        <v>150</v>
      </c>
      <c r="E184" s="2" t="s">
        <v>153</v>
      </c>
      <c r="F184" s="2" t="s">
        <v>224</v>
      </c>
      <c r="G184" s="2" t="s">
        <v>111</v>
      </c>
      <c r="H184" s="2" t="s">
        <v>275</v>
      </c>
      <c r="I184" s="2" t="s">
        <v>122</v>
      </c>
      <c r="J184" s="2" t="s">
        <v>133</v>
      </c>
      <c r="K184" s="2" t="s">
        <v>255</v>
      </c>
      <c r="L184" s="33" t="n">
        <v>45197</v>
      </c>
      <c r="M184" s="33" t="n">
        <v>45199</v>
      </c>
      <c r="N184" s="2" t="n">
        <v>2</v>
      </c>
      <c r="O184" s="2" t="s">
        <v>180</v>
      </c>
      <c r="P184" s="34" t="b">
        <f aca="false">FALSE()</f>
        <v>0</v>
      </c>
      <c r="Q184" s="34" t="b">
        <f aca="false">FALSE()</f>
        <v>0</v>
      </c>
      <c r="R184" s="2" t="n">
        <v>9</v>
      </c>
      <c r="S184" s="2" t="s">
        <v>165</v>
      </c>
      <c r="T184" s="2" t="s">
        <v>227</v>
      </c>
      <c r="U184" s="2" t="s">
        <v>176</v>
      </c>
      <c r="V184" s="34" t="b">
        <f aca="false">FALSE()</f>
        <v>0</v>
      </c>
      <c r="W184" s="2" t="s">
        <v>138</v>
      </c>
      <c r="X184" s="2" t="s">
        <v>250</v>
      </c>
      <c r="Y184" s="34" t="b">
        <f aca="false">FALSE()</f>
        <v>0</v>
      </c>
      <c r="Z184" s="2" t="s">
        <v>143</v>
      </c>
      <c r="AA184" s="2" t="s">
        <v>236</v>
      </c>
      <c r="AB184" s="34" t="b">
        <f aca="false">FALSE()</f>
        <v>0</v>
      </c>
      <c r="AC184" s="35" t="n">
        <v>1684</v>
      </c>
      <c r="AD184" s="35" t="n">
        <v>1684</v>
      </c>
      <c r="AE184" s="2" t="s">
        <v>242</v>
      </c>
      <c r="AF184" s="35" t="n">
        <v>842</v>
      </c>
      <c r="AG184" s="34" t="b">
        <f aca="false">FALSE()</f>
        <v>0</v>
      </c>
      <c r="AH184" s="2"/>
    </row>
    <row r="185" customFormat="false" ht="15" hidden="false" customHeight="false" outlineLevel="0" collapsed="false">
      <c r="A185" s="2" t="s">
        <v>512</v>
      </c>
      <c r="B185" s="2" t="s">
        <v>509</v>
      </c>
      <c r="C185" s="2" t="n">
        <v>89</v>
      </c>
      <c r="D185" s="2" t="s">
        <v>150</v>
      </c>
      <c r="E185" s="2" t="s">
        <v>153</v>
      </c>
      <c r="F185" s="2" t="s">
        <v>224</v>
      </c>
      <c r="G185" s="2" t="s">
        <v>111</v>
      </c>
      <c r="H185" s="2" t="s">
        <v>275</v>
      </c>
      <c r="I185" s="2" t="s">
        <v>122</v>
      </c>
      <c r="J185" s="2" t="s">
        <v>129</v>
      </c>
      <c r="K185" s="2" t="s">
        <v>260</v>
      </c>
      <c r="L185" s="33" t="n">
        <v>45111</v>
      </c>
      <c r="M185" s="33" t="n">
        <v>45114</v>
      </c>
      <c r="N185" s="2" t="n">
        <v>3</v>
      </c>
      <c r="O185" s="2" t="s">
        <v>180</v>
      </c>
      <c r="P185" s="34" t="b">
        <f aca="false">FALSE()</f>
        <v>0</v>
      </c>
      <c r="Q185" s="34" t="b">
        <f aca="false">FALSE()</f>
        <v>0</v>
      </c>
      <c r="R185" s="2" t="n">
        <v>7</v>
      </c>
      <c r="S185" s="2" t="s">
        <v>163</v>
      </c>
      <c r="T185" s="2" t="s">
        <v>227</v>
      </c>
      <c r="U185" s="2" t="s">
        <v>174</v>
      </c>
      <c r="V185" s="34" t="b">
        <f aca="false">FALSE()</f>
        <v>0</v>
      </c>
      <c r="W185" s="2" t="s">
        <v>138</v>
      </c>
      <c r="X185" s="2" t="s">
        <v>250</v>
      </c>
      <c r="Y185" s="34" t="b">
        <f aca="false">FALSE()</f>
        <v>0</v>
      </c>
      <c r="Z185" s="2" t="s">
        <v>143</v>
      </c>
      <c r="AA185" s="2" t="s">
        <v>236</v>
      </c>
      <c r="AB185" s="34" t="b">
        <f aca="false">FALSE()</f>
        <v>0</v>
      </c>
      <c r="AC185" s="35"/>
      <c r="AD185" s="35" t="n">
        <v>999</v>
      </c>
      <c r="AE185" s="2" t="s">
        <v>257</v>
      </c>
      <c r="AF185" s="35"/>
      <c r="AG185" s="34" t="b">
        <f aca="false">FALSE()</f>
        <v>0</v>
      </c>
      <c r="AH185" s="2"/>
    </row>
    <row r="186" customFormat="false" ht="15" hidden="false" customHeight="false" outlineLevel="0" collapsed="false">
      <c r="A186" s="2" t="s">
        <v>513</v>
      </c>
      <c r="B186" s="2" t="s">
        <v>475</v>
      </c>
      <c r="C186" s="2" t="n">
        <v>90</v>
      </c>
      <c r="D186" s="2" t="s">
        <v>150</v>
      </c>
      <c r="E186" s="2" t="s">
        <v>154</v>
      </c>
      <c r="F186" s="2" t="s">
        <v>233</v>
      </c>
      <c r="G186" s="2" t="s">
        <v>111</v>
      </c>
      <c r="H186" s="2" t="s">
        <v>275</v>
      </c>
      <c r="I186" s="2" t="s">
        <v>122</v>
      </c>
      <c r="J186" s="2" t="s">
        <v>128</v>
      </c>
      <c r="K186" s="2" t="s">
        <v>226</v>
      </c>
      <c r="L186" s="33" t="n">
        <v>45211</v>
      </c>
      <c r="M186" s="33" t="n">
        <v>45221</v>
      </c>
      <c r="N186" s="2" t="n">
        <v>10</v>
      </c>
      <c r="O186" s="2" t="s">
        <v>182</v>
      </c>
      <c r="P186" s="34" t="b">
        <f aca="false">TRUE()</f>
        <v>1</v>
      </c>
      <c r="Q186" s="34" t="b">
        <f aca="false">FALSE()</f>
        <v>0</v>
      </c>
      <c r="R186" s="2" t="n">
        <v>10</v>
      </c>
      <c r="S186" s="2" t="s">
        <v>166</v>
      </c>
      <c r="T186" s="2" t="s">
        <v>241</v>
      </c>
      <c r="U186" s="2" t="s">
        <v>176</v>
      </c>
      <c r="V186" s="34" t="b">
        <f aca="false">FALSE()</f>
        <v>0</v>
      </c>
      <c r="W186" s="2" t="s">
        <v>139</v>
      </c>
      <c r="X186" s="2" t="s">
        <v>228</v>
      </c>
      <c r="Y186" s="34" t="b">
        <f aca="false">TRUE()</f>
        <v>1</v>
      </c>
      <c r="Z186" s="2" t="s">
        <v>144</v>
      </c>
      <c r="AA186" s="2" t="s">
        <v>229</v>
      </c>
      <c r="AB186" s="34" t="b">
        <f aca="false">TRUE()</f>
        <v>1</v>
      </c>
      <c r="AC186" s="35"/>
      <c r="AD186" s="35" t="n">
        <v>3852</v>
      </c>
      <c r="AE186" s="2" t="s">
        <v>230</v>
      </c>
      <c r="AF186" s="35"/>
      <c r="AG186" s="34" t="b">
        <f aca="false">FALSE()</f>
        <v>0</v>
      </c>
      <c r="AH186" s="2"/>
    </row>
    <row r="187" customFormat="false" ht="15" hidden="false" customHeight="false" outlineLevel="0" collapsed="false">
      <c r="A187" s="2" t="s">
        <v>514</v>
      </c>
      <c r="B187" s="2" t="s">
        <v>280</v>
      </c>
      <c r="C187" s="2" t="n">
        <v>57</v>
      </c>
      <c r="D187" s="2" t="s">
        <v>149</v>
      </c>
      <c r="E187" s="2" t="s">
        <v>153</v>
      </c>
      <c r="F187" s="2" t="s">
        <v>224</v>
      </c>
      <c r="G187" s="2" t="s">
        <v>111</v>
      </c>
      <c r="H187" s="2" t="s">
        <v>275</v>
      </c>
      <c r="I187" s="2" t="s">
        <v>122</v>
      </c>
      <c r="J187" s="2" t="s">
        <v>131</v>
      </c>
      <c r="K187" s="2" t="s">
        <v>263</v>
      </c>
      <c r="L187" s="33" t="n">
        <v>44926</v>
      </c>
      <c r="M187" s="33" t="n">
        <v>44929</v>
      </c>
      <c r="N187" s="2" t="n">
        <v>3</v>
      </c>
      <c r="O187" s="2" t="s">
        <v>180</v>
      </c>
      <c r="P187" s="34" t="b">
        <f aca="false">FALSE()</f>
        <v>0</v>
      </c>
      <c r="Q187" s="34" t="b">
        <f aca="false">FALSE()</f>
        <v>0</v>
      </c>
      <c r="R187" s="2" t="n">
        <v>12</v>
      </c>
      <c r="S187" s="2" t="s">
        <v>168</v>
      </c>
      <c r="T187" s="2" t="s">
        <v>241</v>
      </c>
      <c r="U187" s="2" t="s">
        <v>171</v>
      </c>
      <c r="V187" s="34" t="b">
        <f aca="false">TRUE()</f>
        <v>1</v>
      </c>
      <c r="W187" s="2" t="s">
        <v>137</v>
      </c>
      <c r="X187" s="2" t="s">
        <v>235</v>
      </c>
      <c r="Y187" s="34" t="b">
        <f aca="false">FALSE()</f>
        <v>0</v>
      </c>
      <c r="Z187" s="2" t="s">
        <v>142</v>
      </c>
      <c r="AA187" s="2" t="s">
        <v>256</v>
      </c>
      <c r="AB187" s="34" t="b">
        <f aca="false">FALSE()</f>
        <v>0</v>
      </c>
      <c r="AC187" s="35"/>
      <c r="AD187" s="35" t="n">
        <v>999</v>
      </c>
      <c r="AE187" s="2" t="s">
        <v>257</v>
      </c>
      <c r="AF187" s="35"/>
      <c r="AG187" s="34" t="b">
        <f aca="false">TRUE()</f>
        <v>1</v>
      </c>
      <c r="AH187" s="2"/>
    </row>
    <row r="188" customFormat="false" ht="15" hidden="false" customHeight="false" outlineLevel="0" collapsed="false">
      <c r="A188" s="2" t="s">
        <v>515</v>
      </c>
      <c r="B188" s="2" t="s">
        <v>293</v>
      </c>
      <c r="C188" s="2" t="n">
        <v>79</v>
      </c>
      <c r="D188" s="2" t="s">
        <v>150</v>
      </c>
      <c r="E188" s="2" t="s">
        <v>153</v>
      </c>
      <c r="F188" s="2" t="s">
        <v>224</v>
      </c>
      <c r="G188" s="2" t="s">
        <v>111</v>
      </c>
      <c r="H188" s="2" t="s">
        <v>275</v>
      </c>
      <c r="I188" s="2" t="s">
        <v>122</v>
      </c>
      <c r="J188" s="2" t="s">
        <v>130</v>
      </c>
      <c r="K188" s="2" t="s">
        <v>245</v>
      </c>
      <c r="L188" s="33" t="n">
        <v>44932</v>
      </c>
      <c r="M188" s="33" t="n">
        <v>44936</v>
      </c>
      <c r="N188" s="2" t="n">
        <v>4</v>
      </c>
      <c r="O188" s="2" t="s">
        <v>181</v>
      </c>
      <c r="P188" s="34" t="b">
        <f aca="false">FALSE()</f>
        <v>0</v>
      </c>
      <c r="Q188" s="34" t="b">
        <f aca="false">FALSE()</f>
        <v>0</v>
      </c>
      <c r="R188" s="2" t="n">
        <v>1</v>
      </c>
      <c r="S188" s="2" t="s">
        <v>157</v>
      </c>
      <c r="T188" s="2" t="s">
        <v>234</v>
      </c>
      <c r="U188" s="2" t="s">
        <v>177</v>
      </c>
      <c r="V188" s="34" t="b">
        <f aca="false">TRUE()</f>
        <v>1</v>
      </c>
      <c r="W188" s="2" t="s">
        <v>138</v>
      </c>
      <c r="X188" s="2" t="s">
        <v>250</v>
      </c>
      <c r="Y188" s="34" t="b">
        <f aca="false">FALSE()</f>
        <v>0</v>
      </c>
      <c r="Z188" s="2" t="s">
        <v>144</v>
      </c>
      <c r="AA188" s="2" t="s">
        <v>229</v>
      </c>
      <c r="AB188" s="34" t="b">
        <f aca="false">TRUE()</f>
        <v>1</v>
      </c>
      <c r="AC188" s="35"/>
      <c r="AD188" s="35" t="n">
        <v>999</v>
      </c>
      <c r="AE188" s="2" t="s">
        <v>257</v>
      </c>
      <c r="AF188" s="35"/>
      <c r="AG188" s="34" t="b">
        <f aca="false">FALSE()</f>
        <v>0</v>
      </c>
      <c r="AH188" s="2"/>
    </row>
    <row r="189" customFormat="false" ht="15" hidden="false" customHeight="false" outlineLevel="0" collapsed="false">
      <c r="A189" s="2" t="s">
        <v>516</v>
      </c>
      <c r="B189" s="2" t="s">
        <v>259</v>
      </c>
      <c r="C189" s="2" t="n">
        <v>19</v>
      </c>
      <c r="D189" s="2" t="s">
        <v>148</v>
      </c>
      <c r="E189" s="2" t="s">
        <v>153</v>
      </c>
      <c r="F189" s="2" t="s">
        <v>224</v>
      </c>
      <c r="G189" s="2" t="s">
        <v>111</v>
      </c>
      <c r="H189" s="2" t="s">
        <v>275</v>
      </c>
      <c r="I189" s="2" t="s">
        <v>122</v>
      </c>
      <c r="J189" s="2" t="s">
        <v>134</v>
      </c>
      <c r="K189" s="2" t="s">
        <v>240</v>
      </c>
      <c r="L189" s="33" t="n">
        <v>45266</v>
      </c>
      <c r="M189" s="33" t="n">
        <v>45269</v>
      </c>
      <c r="N189" s="2" t="n">
        <v>3</v>
      </c>
      <c r="O189" s="2" t="s">
        <v>180</v>
      </c>
      <c r="P189" s="34" t="b">
        <f aca="false">FALSE()</f>
        <v>0</v>
      </c>
      <c r="Q189" s="34" t="b">
        <f aca="false">FALSE()</f>
        <v>0</v>
      </c>
      <c r="R189" s="2" t="n">
        <v>12</v>
      </c>
      <c r="S189" s="2" t="s">
        <v>168</v>
      </c>
      <c r="T189" s="2" t="s">
        <v>241</v>
      </c>
      <c r="U189" s="2" t="s">
        <v>175</v>
      </c>
      <c r="V189" s="34" t="b">
        <f aca="false">FALSE()</f>
        <v>0</v>
      </c>
      <c r="W189" s="2" t="s">
        <v>139</v>
      </c>
      <c r="X189" s="2" t="s">
        <v>228</v>
      </c>
      <c r="Y189" s="34" t="b">
        <f aca="false">TRUE()</f>
        <v>1</v>
      </c>
      <c r="Z189" s="2" t="s">
        <v>142</v>
      </c>
      <c r="AA189" s="2" t="s">
        <v>256</v>
      </c>
      <c r="AB189" s="34" t="b">
        <f aca="false">FALSE()</f>
        <v>0</v>
      </c>
      <c r="AC189" s="35"/>
      <c r="AD189" s="35" t="n">
        <v>999</v>
      </c>
      <c r="AE189" s="2" t="s">
        <v>257</v>
      </c>
      <c r="AF189" s="35"/>
      <c r="AG189" s="34" t="b">
        <f aca="false">FALSE()</f>
        <v>0</v>
      </c>
      <c r="AH189" s="2"/>
    </row>
    <row r="190" customFormat="false" ht="15" hidden="false" customHeight="false" outlineLevel="0" collapsed="false">
      <c r="A190" s="2" t="s">
        <v>517</v>
      </c>
      <c r="B190" s="2" t="s">
        <v>362</v>
      </c>
      <c r="C190" s="2" t="n">
        <v>78</v>
      </c>
      <c r="D190" s="2" t="s">
        <v>150</v>
      </c>
      <c r="E190" s="2" t="s">
        <v>154</v>
      </c>
      <c r="F190" s="2" t="s">
        <v>233</v>
      </c>
      <c r="G190" s="2" t="s">
        <v>111</v>
      </c>
      <c r="H190" s="2" t="s">
        <v>275</v>
      </c>
      <c r="I190" s="2" t="s">
        <v>122</v>
      </c>
      <c r="J190" s="2" t="s">
        <v>129</v>
      </c>
      <c r="K190" s="2" t="s">
        <v>260</v>
      </c>
      <c r="L190" s="33" t="n">
        <v>45146</v>
      </c>
      <c r="M190" s="33" t="n">
        <v>45167</v>
      </c>
      <c r="N190" s="2" t="n">
        <v>21</v>
      </c>
      <c r="O190" s="2" t="s">
        <v>183</v>
      </c>
      <c r="P190" s="34" t="b">
        <f aca="false">TRUE()</f>
        <v>1</v>
      </c>
      <c r="Q190" s="34" t="b">
        <f aca="false">TRUE()</f>
        <v>1</v>
      </c>
      <c r="R190" s="2" t="n">
        <v>8</v>
      </c>
      <c r="S190" s="2" t="s">
        <v>164</v>
      </c>
      <c r="T190" s="2" t="s">
        <v>227</v>
      </c>
      <c r="U190" s="2" t="s">
        <v>174</v>
      </c>
      <c r="V190" s="34" t="b">
        <f aca="false">FALSE()</f>
        <v>0</v>
      </c>
      <c r="W190" s="2" t="s">
        <v>137</v>
      </c>
      <c r="X190" s="2" t="s">
        <v>235</v>
      </c>
      <c r="Y190" s="34" t="b">
        <f aca="false">FALSE()</f>
        <v>0</v>
      </c>
      <c r="Z190" s="2" t="s">
        <v>142</v>
      </c>
      <c r="AA190" s="2" t="s">
        <v>256</v>
      </c>
      <c r="AB190" s="34" t="b">
        <f aca="false">FALSE()</f>
        <v>0</v>
      </c>
      <c r="AC190" s="35"/>
      <c r="AD190" s="35" t="n">
        <v>999</v>
      </c>
      <c r="AE190" s="2" t="s">
        <v>257</v>
      </c>
      <c r="AF190" s="35"/>
      <c r="AG190" s="34" t="b">
        <f aca="false">FALSE()</f>
        <v>0</v>
      </c>
      <c r="AH190" s="2" t="s">
        <v>283</v>
      </c>
    </row>
    <row r="191" customFormat="false" ht="15" hidden="false" customHeight="false" outlineLevel="0" collapsed="false">
      <c r="A191" s="2" t="s">
        <v>518</v>
      </c>
      <c r="B191" s="2" t="s">
        <v>262</v>
      </c>
      <c r="C191" s="2" t="n">
        <v>33</v>
      </c>
      <c r="D191" s="2" t="s">
        <v>148</v>
      </c>
      <c r="E191" s="2" t="s">
        <v>154</v>
      </c>
      <c r="F191" s="2" t="s">
        <v>233</v>
      </c>
      <c r="G191" s="2" t="s">
        <v>111</v>
      </c>
      <c r="H191" s="2" t="s">
        <v>275</v>
      </c>
      <c r="I191" s="2" t="s">
        <v>122</v>
      </c>
      <c r="J191" s="2" t="s">
        <v>128</v>
      </c>
      <c r="K191" s="2" t="s">
        <v>226</v>
      </c>
      <c r="L191" s="33" t="n">
        <v>45264</v>
      </c>
      <c r="M191" s="33" t="n">
        <v>45272</v>
      </c>
      <c r="N191" s="2" t="n">
        <v>8</v>
      </c>
      <c r="O191" s="2" t="s">
        <v>182</v>
      </c>
      <c r="P191" s="34" t="b">
        <f aca="false">TRUE()</f>
        <v>1</v>
      </c>
      <c r="Q191" s="34" t="b">
        <f aca="false">FALSE()</f>
        <v>0</v>
      </c>
      <c r="R191" s="2" t="n">
        <v>12</v>
      </c>
      <c r="S191" s="2" t="s">
        <v>168</v>
      </c>
      <c r="T191" s="2" t="s">
        <v>241</v>
      </c>
      <c r="U191" s="2" t="s">
        <v>173</v>
      </c>
      <c r="V191" s="34" t="b">
        <f aca="false">FALSE()</f>
        <v>0</v>
      </c>
      <c r="W191" s="2" t="s">
        <v>139</v>
      </c>
      <c r="X191" s="2" t="s">
        <v>228</v>
      </c>
      <c r="Y191" s="34" t="b">
        <f aca="false">TRUE()</f>
        <v>1</v>
      </c>
      <c r="Z191" s="2" t="s">
        <v>142</v>
      </c>
      <c r="AA191" s="2" t="s">
        <v>256</v>
      </c>
      <c r="AB191" s="34" t="b">
        <f aca="false">FALSE()</f>
        <v>0</v>
      </c>
      <c r="AC191" s="35"/>
      <c r="AD191" s="35" t="n">
        <v>999</v>
      </c>
      <c r="AE191" s="2" t="s">
        <v>257</v>
      </c>
      <c r="AF191" s="35"/>
      <c r="AG191" s="34" t="b">
        <f aca="false">FALSE()</f>
        <v>0</v>
      </c>
      <c r="AH191" s="2"/>
    </row>
    <row r="192" customFormat="false" ht="15" hidden="false" customHeight="false" outlineLevel="0" collapsed="false">
      <c r="A192" s="2" t="s">
        <v>519</v>
      </c>
      <c r="B192" s="2" t="s">
        <v>471</v>
      </c>
      <c r="C192" s="2" t="n">
        <v>83</v>
      </c>
      <c r="D192" s="2" t="s">
        <v>150</v>
      </c>
      <c r="E192" s="2" t="s">
        <v>153</v>
      </c>
      <c r="F192" s="2" t="s">
        <v>224</v>
      </c>
      <c r="G192" s="2" t="s">
        <v>111</v>
      </c>
      <c r="H192" s="2" t="s">
        <v>275</v>
      </c>
      <c r="I192" s="2" t="s">
        <v>122</v>
      </c>
      <c r="J192" s="2" t="s">
        <v>132</v>
      </c>
      <c r="K192" s="2" t="s">
        <v>249</v>
      </c>
      <c r="L192" s="33" t="n">
        <v>45286</v>
      </c>
      <c r="M192" s="33" t="n">
        <v>45296</v>
      </c>
      <c r="N192" s="2" t="n">
        <v>10</v>
      </c>
      <c r="O192" s="2" t="s">
        <v>182</v>
      </c>
      <c r="P192" s="34" t="b">
        <f aca="false">TRUE()</f>
        <v>1</v>
      </c>
      <c r="Q192" s="34" t="b">
        <f aca="false">FALSE()</f>
        <v>0</v>
      </c>
      <c r="R192" s="2" t="n">
        <v>12</v>
      </c>
      <c r="S192" s="2" t="s">
        <v>168</v>
      </c>
      <c r="T192" s="2" t="s">
        <v>241</v>
      </c>
      <c r="U192" s="2" t="s">
        <v>174</v>
      </c>
      <c r="V192" s="34" t="b">
        <f aca="false">FALSE()</f>
        <v>0</v>
      </c>
      <c r="W192" s="2" t="s">
        <v>139</v>
      </c>
      <c r="X192" s="2" t="s">
        <v>228</v>
      </c>
      <c r="Y192" s="34" t="b">
        <f aca="false">TRUE()</f>
        <v>1</v>
      </c>
      <c r="Z192" s="2" t="s">
        <v>143</v>
      </c>
      <c r="AA192" s="2" t="s">
        <v>236</v>
      </c>
      <c r="AB192" s="34" t="b">
        <f aca="false">FALSE()</f>
        <v>0</v>
      </c>
      <c r="AC192" s="35"/>
      <c r="AD192" s="35" t="n">
        <v>3852</v>
      </c>
      <c r="AE192" s="2" t="s">
        <v>230</v>
      </c>
      <c r="AF192" s="35"/>
      <c r="AG192" s="34" t="b">
        <f aca="false">FALSE()</f>
        <v>0</v>
      </c>
      <c r="AH192" s="2"/>
    </row>
    <row r="193" customFormat="false" ht="15" hidden="false" customHeight="false" outlineLevel="0" collapsed="false">
      <c r="A193" s="2" t="s">
        <v>520</v>
      </c>
      <c r="B193" s="2" t="s">
        <v>244</v>
      </c>
      <c r="C193" s="2" t="n">
        <v>90</v>
      </c>
      <c r="D193" s="2" t="s">
        <v>150</v>
      </c>
      <c r="E193" s="2" t="s">
        <v>153</v>
      </c>
      <c r="F193" s="2" t="s">
        <v>224</v>
      </c>
      <c r="G193" s="2" t="s">
        <v>111</v>
      </c>
      <c r="H193" s="2" t="s">
        <v>275</v>
      </c>
      <c r="I193" s="2" t="s">
        <v>122</v>
      </c>
      <c r="J193" s="2" t="s">
        <v>132</v>
      </c>
      <c r="K193" s="2" t="s">
        <v>249</v>
      </c>
      <c r="L193" s="33" t="n">
        <v>45206</v>
      </c>
      <c r="M193" s="33" t="n">
        <v>45207</v>
      </c>
      <c r="N193" s="2" t="n">
        <v>1</v>
      </c>
      <c r="O193" s="2" t="s">
        <v>180</v>
      </c>
      <c r="P193" s="34" t="b">
        <f aca="false">FALSE()</f>
        <v>0</v>
      </c>
      <c r="Q193" s="34" t="b">
        <f aca="false">FALSE()</f>
        <v>0</v>
      </c>
      <c r="R193" s="2" t="n">
        <v>10</v>
      </c>
      <c r="S193" s="2" t="s">
        <v>166</v>
      </c>
      <c r="T193" s="2" t="s">
        <v>241</v>
      </c>
      <c r="U193" s="2" t="s">
        <v>171</v>
      </c>
      <c r="V193" s="34" t="b">
        <f aca="false">TRUE()</f>
        <v>1</v>
      </c>
      <c r="W193" s="2" t="s">
        <v>137</v>
      </c>
      <c r="X193" s="2" t="s">
        <v>235</v>
      </c>
      <c r="Y193" s="34" t="b">
        <f aca="false">FALSE()</f>
        <v>0</v>
      </c>
      <c r="Z193" s="2" t="s">
        <v>142</v>
      </c>
      <c r="AA193" s="2" t="s">
        <v>256</v>
      </c>
      <c r="AB193" s="34" t="b">
        <f aca="false">FALSE()</f>
        <v>0</v>
      </c>
      <c r="AC193" s="35"/>
      <c r="AD193" s="35" t="n">
        <v>999</v>
      </c>
      <c r="AE193" s="2" t="s">
        <v>257</v>
      </c>
      <c r="AF193" s="35"/>
      <c r="AG193" s="34" t="b">
        <f aca="false">FALSE()</f>
        <v>0</v>
      </c>
      <c r="AH193" s="2"/>
    </row>
    <row r="194" customFormat="false" ht="15" hidden="false" customHeight="false" outlineLevel="0" collapsed="false">
      <c r="A194" s="2" t="s">
        <v>521</v>
      </c>
      <c r="B194" s="2" t="s">
        <v>352</v>
      </c>
      <c r="C194" s="2" t="n">
        <v>56</v>
      </c>
      <c r="D194" s="2" t="s">
        <v>149</v>
      </c>
      <c r="E194" s="2" t="s">
        <v>153</v>
      </c>
      <c r="F194" s="2" t="s">
        <v>224</v>
      </c>
      <c r="G194" s="2" t="s">
        <v>113</v>
      </c>
      <c r="H194" s="2" t="s">
        <v>477</v>
      </c>
      <c r="I194" s="2" t="s">
        <v>122</v>
      </c>
      <c r="J194" s="2" t="s">
        <v>130</v>
      </c>
      <c r="K194" s="2" t="s">
        <v>245</v>
      </c>
      <c r="L194" s="33" t="n">
        <v>44949</v>
      </c>
      <c r="M194" s="33" t="n">
        <v>44954</v>
      </c>
      <c r="N194" s="2" t="n">
        <v>5</v>
      </c>
      <c r="O194" s="2" t="s">
        <v>181</v>
      </c>
      <c r="P194" s="34" t="b">
        <f aca="false">FALSE()</f>
        <v>0</v>
      </c>
      <c r="Q194" s="34" t="b">
        <f aca="false">FALSE()</f>
        <v>0</v>
      </c>
      <c r="R194" s="2" t="n">
        <v>1</v>
      </c>
      <c r="S194" s="2" t="s">
        <v>157</v>
      </c>
      <c r="T194" s="2" t="s">
        <v>234</v>
      </c>
      <c r="U194" s="2" t="s">
        <v>173</v>
      </c>
      <c r="V194" s="34" t="b">
        <f aca="false">FALSE()</f>
        <v>0</v>
      </c>
      <c r="W194" s="2" t="s">
        <v>137</v>
      </c>
      <c r="X194" s="2" t="s">
        <v>235</v>
      </c>
      <c r="Y194" s="34" t="b">
        <f aca="false">FALSE()</f>
        <v>0</v>
      </c>
      <c r="Z194" s="2" t="s">
        <v>143</v>
      </c>
      <c r="AA194" s="2" t="s">
        <v>236</v>
      </c>
      <c r="AB194" s="34" t="b">
        <f aca="false">FALSE()</f>
        <v>0</v>
      </c>
      <c r="AC194" s="35"/>
      <c r="AD194" s="35" t="n">
        <v>999</v>
      </c>
      <c r="AE194" s="2" t="s">
        <v>257</v>
      </c>
      <c r="AF194" s="35"/>
      <c r="AG194" s="34" t="b">
        <f aca="false">FALSE()</f>
        <v>0</v>
      </c>
      <c r="AH194" s="2"/>
    </row>
    <row r="195" customFormat="false" ht="15" hidden="false" customHeight="false" outlineLevel="0" collapsed="false">
      <c r="A195" s="2" t="s">
        <v>522</v>
      </c>
      <c r="B195" s="2" t="s">
        <v>244</v>
      </c>
      <c r="C195" s="2" t="n">
        <v>8</v>
      </c>
      <c r="D195" s="2" t="s">
        <v>147</v>
      </c>
      <c r="E195" s="2" t="s">
        <v>153</v>
      </c>
      <c r="F195" s="2" t="s">
        <v>224</v>
      </c>
      <c r="G195" s="2" t="s">
        <v>113</v>
      </c>
      <c r="H195" s="2" t="s">
        <v>477</v>
      </c>
      <c r="I195" s="2" t="s">
        <v>122</v>
      </c>
      <c r="J195" s="2" t="s">
        <v>130</v>
      </c>
      <c r="K195" s="2" t="s">
        <v>245</v>
      </c>
      <c r="L195" s="33" t="n">
        <v>45062</v>
      </c>
      <c r="M195" s="33" t="n">
        <v>45064</v>
      </c>
      <c r="N195" s="2" t="n">
        <v>2</v>
      </c>
      <c r="O195" s="2" t="s">
        <v>180</v>
      </c>
      <c r="P195" s="34" t="b">
        <f aca="false">FALSE()</f>
        <v>0</v>
      </c>
      <c r="Q195" s="34" t="b">
        <f aca="false">FALSE()</f>
        <v>0</v>
      </c>
      <c r="R195" s="2" t="n">
        <v>5</v>
      </c>
      <c r="S195" s="2" t="s">
        <v>161</v>
      </c>
      <c r="T195" s="2" t="s">
        <v>246</v>
      </c>
      <c r="U195" s="2" t="s">
        <v>174</v>
      </c>
      <c r="V195" s="34" t="b">
        <f aca="false">FALSE()</f>
        <v>0</v>
      </c>
      <c r="W195" s="2" t="s">
        <v>137</v>
      </c>
      <c r="X195" s="2" t="s">
        <v>235</v>
      </c>
      <c r="Y195" s="34" t="b">
        <f aca="false">FALSE()</f>
        <v>0</v>
      </c>
      <c r="Z195" s="2" t="s">
        <v>143</v>
      </c>
      <c r="AA195" s="2" t="s">
        <v>236</v>
      </c>
      <c r="AB195" s="34" t="b">
        <f aca="false">FALSE()</f>
        <v>0</v>
      </c>
      <c r="AC195" s="35"/>
      <c r="AD195" s="35" t="n">
        <v>3852</v>
      </c>
      <c r="AE195" s="2" t="s">
        <v>230</v>
      </c>
      <c r="AF195" s="35"/>
      <c r="AG195" s="34" t="b">
        <f aca="false">FALSE()</f>
        <v>0</v>
      </c>
      <c r="AH195" s="2"/>
    </row>
    <row r="196" customFormat="false" ht="15" hidden="false" customHeight="false" outlineLevel="0" collapsed="false">
      <c r="A196" s="2" t="s">
        <v>523</v>
      </c>
      <c r="B196" s="2" t="s">
        <v>384</v>
      </c>
      <c r="C196" s="2" t="n">
        <v>59</v>
      </c>
      <c r="D196" s="2" t="s">
        <v>149</v>
      </c>
      <c r="E196" s="2" t="s">
        <v>154</v>
      </c>
      <c r="F196" s="2" t="s">
        <v>233</v>
      </c>
      <c r="G196" s="2" t="s">
        <v>113</v>
      </c>
      <c r="H196" s="2" t="s">
        <v>477</v>
      </c>
      <c r="I196" s="2" t="s">
        <v>122</v>
      </c>
      <c r="J196" s="2" t="s">
        <v>129</v>
      </c>
      <c r="K196" s="2" t="s">
        <v>260</v>
      </c>
      <c r="L196" s="33" t="n">
        <v>45029</v>
      </c>
      <c r="M196" s="33" t="n">
        <v>45031</v>
      </c>
      <c r="N196" s="2" t="n">
        <v>2</v>
      </c>
      <c r="O196" s="2" t="s">
        <v>180</v>
      </c>
      <c r="P196" s="34" t="b">
        <f aca="false">FALSE()</f>
        <v>0</v>
      </c>
      <c r="Q196" s="34" t="b">
        <f aca="false">FALSE()</f>
        <v>0</v>
      </c>
      <c r="R196" s="2" t="n">
        <v>4</v>
      </c>
      <c r="S196" s="2" t="s">
        <v>160</v>
      </c>
      <c r="T196" s="2" t="s">
        <v>246</v>
      </c>
      <c r="U196" s="2" t="s">
        <v>176</v>
      </c>
      <c r="V196" s="34" t="b">
        <f aca="false">FALSE()</f>
        <v>0</v>
      </c>
      <c r="W196" s="2" t="s">
        <v>139</v>
      </c>
      <c r="X196" s="2" t="s">
        <v>228</v>
      </c>
      <c r="Y196" s="34" t="b">
        <f aca="false">TRUE()</f>
        <v>1</v>
      </c>
      <c r="Z196" s="2" t="s">
        <v>144</v>
      </c>
      <c r="AA196" s="2" t="s">
        <v>229</v>
      </c>
      <c r="AB196" s="34" t="b">
        <f aca="false">TRUE()</f>
        <v>1</v>
      </c>
      <c r="AC196" s="35"/>
      <c r="AD196" s="35" t="n">
        <v>3852</v>
      </c>
      <c r="AE196" s="2" t="s">
        <v>230</v>
      </c>
      <c r="AF196" s="35"/>
      <c r="AG196" s="34" t="b">
        <f aca="false">FALSE()</f>
        <v>0</v>
      </c>
      <c r="AH196" s="2"/>
    </row>
    <row r="197" customFormat="false" ht="15" hidden="false" customHeight="false" outlineLevel="0" collapsed="false">
      <c r="A197" s="2" t="s">
        <v>524</v>
      </c>
      <c r="B197" s="2" t="s">
        <v>259</v>
      </c>
      <c r="C197" s="2" t="n">
        <v>31</v>
      </c>
      <c r="D197" s="2" t="s">
        <v>148</v>
      </c>
      <c r="E197" s="2" t="s">
        <v>154</v>
      </c>
      <c r="F197" s="2" t="s">
        <v>233</v>
      </c>
      <c r="G197" s="2" t="s">
        <v>113</v>
      </c>
      <c r="H197" s="2" t="s">
        <v>477</v>
      </c>
      <c r="I197" s="2" t="s">
        <v>122</v>
      </c>
      <c r="J197" s="2" t="s">
        <v>130</v>
      </c>
      <c r="K197" s="2" t="s">
        <v>245</v>
      </c>
      <c r="L197" s="33" t="n">
        <v>45203</v>
      </c>
      <c r="M197" s="33" t="n">
        <v>45224</v>
      </c>
      <c r="N197" s="2" t="n">
        <v>21</v>
      </c>
      <c r="O197" s="2" t="s">
        <v>183</v>
      </c>
      <c r="P197" s="34" t="b">
        <f aca="false">TRUE()</f>
        <v>1</v>
      </c>
      <c r="Q197" s="34" t="b">
        <f aca="false">TRUE()</f>
        <v>1</v>
      </c>
      <c r="R197" s="2" t="n">
        <v>10</v>
      </c>
      <c r="S197" s="2" t="s">
        <v>166</v>
      </c>
      <c r="T197" s="2" t="s">
        <v>241</v>
      </c>
      <c r="U197" s="2" t="s">
        <v>175</v>
      </c>
      <c r="V197" s="34" t="b">
        <f aca="false">FALSE()</f>
        <v>0</v>
      </c>
      <c r="W197" s="2" t="s">
        <v>138</v>
      </c>
      <c r="X197" s="2" t="s">
        <v>250</v>
      </c>
      <c r="Y197" s="34" t="b">
        <f aca="false">FALSE()</f>
        <v>0</v>
      </c>
      <c r="Z197" s="2" t="s">
        <v>144</v>
      </c>
      <c r="AA197" s="2" t="s">
        <v>229</v>
      </c>
      <c r="AB197" s="34" t="b">
        <f aca="false">TRUE()</f>
        <v>1</v>
      </c>
      <c r="AC197" s="35"/>
      <c r="AD197" s="35" t="n">
        <v>999</v>
      </c>
      <c r="AE197" s="2" t="s">
        <v>257</v>
      </c>
      <c r="AF197" s="35"/>
      <c r="AG197" s="34" t="b">
        <f aca="false">FALSE()</f>
        <v>0</v>
      </c>
      <c r="AH197" s="2"/>
    </row>
    <row r="198" customFormat="false" ht="15" hidden="false" customHeight="false" outlineLevel="0" collapsed="false">
      <c r="A198" s="2" t="s">
        <v>525</v>
      </c>
      <c r="B198" s="2" t="s">
        <v>298</v>
      </c>
      <c r="C198" s="2" t="n">
        <v>8</v>
      </c>
      <c r="D198" s="2" t="s">
        <v>147</v>
      </c>
      <c r="E198" s="2" t="s">
        <v>153</v>
      </c>
      <c r="F198" s="2" t="s">
        <v>224</v>
      </c>
      <c r="G198" s="2" t="s">
        <v>113</v>
      </c>
      <c r="H198" s="2" t="s">
        <v>477</v>
      </c>
      <c r="I198" s="2" t="s">
        <v>122</v>
      </c>
      <c r="J198" s="2" t="s">
        <v>131</v>
      </c>
      <c r="K198" s="2" t="s">
        <v>263</v>
      </c>
      <c r="L198" s="33" t="n">
        <v>45103</v>
      </c>
      <c r="M198" s="33" t="n">
        <v>45109</v>
      </c>
      <c r="N198" s="2" t="n">
        <v>6</v>
      </c>
      <c r="O198" s="2" t="s">
        <v>181</v>
      </c>
      <c r="P198" s="34" t="b">
        <f aca="false">FALSE()</f>
        <v>0</v>
      </c>
      <c r="Q198" s="34" t="b">
        <f aca="false">FALSE()</f>
        <v>0</v>
      </c>
      <c r="R198" s="2" t="n">
        <v>6</v>
      </c>
      <c r="S198" s="2" t="s">
        <v>162</v>
      </c>
      <c r="T198" s="2" t="s">
        <v>246</v>
      </c>
      <c r="U198" s="2" t="s">
        <v>173</v>
      </c>
      <c r="V198" s="34" t="b">
        <f aca="false">FALSE()</f>
        <v>0</v>
      </c>
      <c r="W198" s="2" t="s">
        <v>137</v>
      </c>
      <c r="X198" s="2" t="s">
        <v>235</v>
      </c>
      <c r="Y198" s="34" t="b">
        <f aca="false">FALSE()</f>
        <v>0</v>
      </c>
      <c r="Z198" s="2" t="s">
        <v>144</v>
      </c>
      <c r="AA198" s="2" t="s">
        <v>229</v>
      </c>
      <c r="AB198" s="34" t="b">
        <f aca="false">TRUE()</f>
        <v>1</v>
      </c>
      <c r="AC198" s="35"/>
      <c r="AD198" s="35" t="n">
        <v>999</v>
      </c>
      <c r="AE198" s="2" t="s">
        <v>257</v>
      </c>
      <c r="AF198" s="35"/>
      <c r="AG198" s="34" t="b">
        <f aca="false">FALSE()</f>
        <v>0</v>
      </c>
      <c r="AH198" s="2"/>
    </row>
    <row r="199" customFormat="false" ht="15" hidden="false" customHeight="false" outlineLevel="0" collapsed="false">
      <c r="A199" s="2" t="s">
        <v>526</v>
      </c>
      <c r="B199" s="2" t="s">
        <v>475</v>
      </c>
      <c r="C199" s="2" t="n">
        <v>67</v>
      </c>
      <c r="D199" s="2" t="s">
        <v>150</v>
      </c>
      <c r="E199" s="2" t="s">
        <v>153</v>
      </c>
      <c r="F199" s="2" t="s">
        <v>224</v>
      </c>
      <c r="G199" s="2" t="s">
        <v>113</v>
      </c>
      <c r="H199" s="2" t="s">
        <v>477</v>
      </c>
      <c r="I199" s="2" t="s">
        <v>122</v>
      </c>
      <c r="J199" s="2" t="s">
        <v>131</v>
      </c>
      <c r="K199" s="2" t="s">
        <v>263</v>
      </c>
      <c r="L199" s="33" t="n">
        <v>45221</v>
      </c>
      <c r="M199" s="33" t="n">
        <v>45223</v>
      </c>
      <c r="N199" s="2" t="n">
        <v>2</v>
      </c>
      <c r="O199" s="2" t="s">
        <v>180</v>
      </c>
      <c r="P199" s="34" t="b">
        <f aca="false">FALSE()</f>
        <v>0</v>
      </c>
      <c r="Q199" s="34" t="b">
        <f aca="false">FALSE()</f>
        <v>0</v>
      </c>
      <c r="R199" s="2" t="n">
        <v>10</v>
      </c>
      <c r="S199" s="2" t="s">
        <v>166</v>
      </c>
      <c r="T199" s="2" t="s">
        <v>241</v>
      </c>
      <c r="U199" s="2" t="s">
        <v>172</v>
      </c>
      <c r="V199" s="34" t="b">
        <f aca="false">FALSE()</f>
        <v>0</v>
      </c>
      <c r="W199" s="2" t="s">
        <v>138</v>
      </c>
      <c r="X199" s="2" t="s">
        <v>250</v>
      </c>
      <c r="Y199" s="34" t="b">
        <f aca="false">FALSE()</f>
        <v>0</v>
      </c>
      <c r="Z199" s="2" t="s">
        <v>144</v>
      </c>
      <c r="AA199" s="2" t="s">
        <v>229</v>
      </c>
      <c r="AB199" s="34" t="b">
        <f aca="false">TRUE()</f>
        <v>1</v>
      </c>
      <c r="AC199" s="35"/>
      <c r="AD199" s="35" t="n">
        <v>999</v>
      </c>
      <c r="AE199" s="2" t="s">
        <v>257</v>
      </c>
      <c r="AF199" s="35"/>
      <c r="AG199" s="34" t="b">
        <f aca="false">FALSE()</f>
        <v>0</v>
      </c>
      <c r="AH199" s="2"/>
    </row>
    <row r="200" customFormat="false" ht="15" hidden="false" customHeight="false" outlineLevel="0" collapsed="false">
      <c r="A200" s="2" t="s">
        <v>527</v>
      </c>
      <c r="B200" s="2" t="s">
        <v>362</v>
      </c>
      <c r="C200" s="2" t="n">
        <v>16</v>
      </c>
      <c r="D200" s="2" t="s">
        <v>147</v>
      </c>
      <c r="E200" s="2" t="s">
        <v>153</v>
      </c>
      <c r="F200" s="2" t="s">
        <v>224</v>
      </c>
      <c r="G200" s="2" t="s">
        <v>113</v>
      </c>
      <c r="H200" s="2" t="s">
        <v>477</v>
      </c>
      <c r="I200" s="2" t="s">
        <v>122</v>
      </c>
      <c r="J200" s="2" t="s">
        <v>128</v>
      </c>
      <c r="K200" s="2" t="s">
        <v>226</v>
      </c>
      <c r="L200" s="33" t="n">
        <v>44963</v>
      </c>
      <c r="M200" s="33" t="n">
        <v>44966</v>
      </c>
      <c r="N200" s="2" t="n">
        <v>3</v>
      </c>
      <c r="O200" s="2" t="s">
        <v>180</v>
      </c>
      <c r="P200" s="34" t="b">
        <f aca="false">FALSE()</f>
        <v>0</v>
      </c>
      <c r="Q200" s="34" t="b">
        <f aca="false">FALSE()</f>
        <v>0</v>
      </c>
      <c r="R200" s="2" t="n">
        <v>2</v>
      </c>
      <c r="S200" s="2" t="s">
        <v>158</v>
      </c>
      <c r="T200" s="2" t="s">
        <v>234</v>
      </c>
      <c r="U200" s="2" t="s">
        <v>173</v>
      </c>
      <c r="V200" s="34" t="b">
        <f aca="false">FALSE()</f>
        <v>0</v>
      </c>
      <c r="W200" s="2" t="s">
        <v>138</v>
      </c>
      <c r="X200" s="2" t="s">
        <v>250</v>
      </c>
      <c r="Y200" s="34" t="b">
        <f aca="false">FALSE()</f>
        <v>0</v>
      </c>
      <c r="Z200" s="2" t="s">
        <v>144</v>
      </c>
      <c r="AA200" s="2" t="s">
        <v>229</v>
      </c>
      <c r="AB200" s="34" t="b">
        <f aca="false">TRUE()</f>
        <v>1</v>
      </c>
      <c r="AC200" s="35"/>
      <c r="AD200" s="35" t="n">
        <v>3852</v>
      </c>
      <c r="AE200" s="2" t="s">
        <v>230</v>
      </c>
      <c r="AF200" s="35"/>
      <c r="AG200" s="34" t="b">
        <f aca="false">FALSE()</f>
        <v>0</v>
      </c>
      <c r="AH200" s="2"/>
    </row>
    <row r="201" customFormat="false" ht="15" hidden="false" customHeight="false" outlineLevel="0" collapsed="false">
      <c r="A201" s="2" t="s">
        <v>528</v>
      </c>
      <c r="B201" s="2" t="s">
        <v>352</v>
      </c>
      <c r="C201" s="2" t="n">
        <v>5</v>
      </c>
      <c r="D201" s="2" t="s">
        <v>147</v>
      </c>
      <c r="E201" s="2" t="s">
        <v>154</v>
      </c>
      <c r="F201" s="2" t="s">
        <v>233</v>
      </c>
      <c r="G201" s="2" t="s">
        <v>113</v>
      </c>
      <c r="H201" s="2" t="s">
        <v>477</v>
      </c>
      <c r="I201" s="2" t="s">
        <v>122</v>
      </c>
      <c r="J201" s="2" t="s">
        <v>128</v>
      </c>
      <c r="K201" s="2" t="s">
        <v>226</v>
      </c>
      <c r="L201" s="33" t="n">
        <v>45030</v>
      </c>
      <c r="M201" s="33" t="n">
        <v>45033</v>
      </c>
      <c r="N201" s="2" t="n">
        <v>3</v>
      </c>
      <c r="O201" s="2" t="s">
        <v>180</v>
      </c>
      <c r="P201" s="34" t="b">
        <f aca="false">FALSE()</f>
        <v>0</v>
      </c>
      <c r="Q201" s="34" t="b">
        <f aca="false">FALSE()</f>
        <v>0</v>
      </c>
      <c r="R201" s="2" t="n">
        <v>4</v>
      </c>
      <c r="S201" s="2" t="s">
        <v>160</v>
      </c>
      <c r="T201" s="2" t="s">
        <v>246</v>
      </c>
      <c r="U201" s="2" t="s">
        <v>177</v>
      </c>
      <c r="V201" s="34" t="b">
        <f aca="false">TRUE()</f>
        <v>1</v>
      </c>
      <c r="W201" s="2" t="s">
        <v>138</v>
      </c>
      <c r="X201" s="2" t="s">
        <v>250</v>
      </c>
      <c r="Y201" s="34" t="b">
        <f aca="false">FALSE()</f>
        <v>0</v>
      </c>
      <c r="Z201" s="2" t="s">
        <v>143</v>
      </c>
      <c r="AA201" s="2" t="s">
        <v>236</v>
      </c>
      <c r="AB201" s="34" t="b">
        <f aca="false">FALSE()</f>
        <v>0</v>
      </c>
      <c r="AC201" s="35"/>
      <c r="AD201" s="35" t="n">
        <v>999</v>
      </c>
      <c r="AE201" s="2" t="s">
        <v>257</v>
      </c>
      <c r="AF201" s="35"/>
      <c r="AG201" s="34" t="b">
        <f aca="false">FALSE()</f>
        <v>0</v>
      </c>
      <c r="AH201" s="2"/>
    </row>
    <row r="202" customFormat="false" ht="15" hidden="false" customHeight="false" outlineLevel="0" collapsed="false">
      <c r="A202" s="2" t="s">
        <v>529</v>
      </c>
      <c r="B202" s="2" t="s">
        <v>323</v>
      </c>
      <c r="C202" s="2" t="n">
        <v>40</v>
      </c>
      <c r="D202" s="2" t="s">
        <v>149</v>
      </c>
      <c r="E202" s="2" t="s">
        <v>153</v>
      </c>
      <c r="F202" s="2" t="s">
        <v>224</v>
      </c>
      <c r="G202" s="2" t="s">
        <v>117</v>
      </c>
      <c r="H202" s="2" t="s">
        <v>410</v>
      </c>
      <c r="I202" s="2" t="s">
        <v>125</v>
      </c>
      <c r="J202" s="2" t="s">
        <v>133</v>
      </c>
      <c r="K202" s="2" t="s">
        <v>255</v>
      </c>
      <c r="L202" s="33" t="n">
        <v>45077</v>
      </c>
      <c r="M202" s="33" t="n">
        <v>45080</v>
      </c>
      <c r="N202" s="2" t="n">
        <v>3</v>
      </c>
      <c r="O202" s="2" t="s">
        <v>180</v>
      </c>
      <c r="P202" s="34" t="b">
        <f aca="false">FALSE()</f>
        <v>0</v>
      </c>
      <c r="Q202" s="34" t="b">
        <f aca="false">FALSE()</f>
        <v>0</v>
      </c>
      <c r="R202" s="2" t="n">
        <v>5</v>
      </c>
      <c r="S202" s="2" t="s">
        <v>161</v>
      </c>
      <c r="T202" s="2" t="s">
        <v>246</v>
      </c>
      <c r="U202" s="2" t="s">
        <v>175</v>
      </c>
      <c r="V202" s="34" t="b">
        <f aca="false">FALSE()</f>
        <v>0</v>
      </c>
      <c r="W202" s="2" t="s">
        <v>139</v>
      </c>
      <c r="X202" s="2" t="s">
        <v>228</v>
      </c>
      <c r="Y202" s="34" t="b">
        <f aca="false">TRUE()</f>
        <v>1</v>
      </c>
      <c r="Z202" s="2" t="s">
        <v>143</v>
      </c>
      <c r="AA202" s="2" t="s">
        <v>236</v>
      </c>
      <c r="AB202" s="34" t="b">
        <f aca="false">FALSE()</f>
        <v>0</v>
      </c>
      <c r="AC202" s="35"/>
      <c r="AD202" s="35" t="n">
        <v>3852</v>
      </c>
      <c r="AE202" s="2" t="s">
        <v>230</v>
      </c>
      <c r="AF202" s="35"/>
      <c r="AG202" s="34" t="b">
        <f aca="false">TRUE()</f>
        <v>1</v>
      </c>
      <c r="AH202" s="2"/>
    </row>
    <row r="203" customFormat="false" ht="15" hidden="false" customHeight="false" outlineLevel="0" collapsed="false">
      <c r="A203" s="2" t="s">
        <v>530</v>
      </c>
      <c r="B203" s="2" t="s">
        <v>509</v>
      </c>
      <c r="C203" s="2" t="n">
        <v>9</v>
      </c>
      <c r="D203" s="2" t="s">
        <v>147</v>
      </c>
      <c r="E203" s="2" t="s">
        <v>153</v>
      </c>
      <c r="F203" s="2" t="s">
        <v>224</v>
      </c>
      <c r="G203" s="2" t="s">
        <v>114</v>
      </c>
      <c r="H203" s="2" t="s">
        <v>403</v>
      </c>
      <c r="I203" s="2" t="s">
        <v>122</v>
      </c>
      <c r="J203" s="2" t="s">
        <v>129</v>
      </c>
      <c r="K203" s="2" t="s">
        <v>260</v>
      </c>
      <c r="L203" s="33" t="n">
        <v>45083</v>
      </c>
      <c r="M203" s="33" t="n">
        <v>45085</v>
      </c>
      <c r="N203" s="2" t="n">
        <v>2</v>
      </c>
      <c r="O203" s="2" t="s">
        <v>180</v>
      </c>
      <c r="P203" s="34" t="b">
        <f aca="false">FALSE()</f>
        <v>0</v>
      </c>
      <c r="Q203" s="34" t="b">
        <f aca="false">FALSE()</f>
        <v>0</v>
      </c>
      <c r="R203" s="2" t="n">
        <v>6</v>
      </c>
      <c r="S203" s="2" t="s">
        <v>162</v>
      </c>
      <c r="T203" s="2" t="s">
        <v>246</v>
      </c>
      <c r="U203" s="2" t="s">
        <v>174</v>
      </c>
      <c r="V203" s="34" t="b">
        <f aca="false">FALSE()</f>
        <v>0</v>
      </c>
      <c r="W203" s="2" t="s">
        <v>137</v>
      </c>
      <c r="X203" s="2" t="s">
        <v>235</v>
      </c>
      <c r="Y203" s="34" t="b">
        <f aca="false">FALSE()</f>
        <v>0</v>
      </c>
      <c r="Z203" s="2" t="s">
        <v>143</v>
      </c>
      <c r="AA203" s="2" t="s">
        <v>236</v>
      </c>
      <c r="AB203" s="34" t="b">
        <f aca="false">FALSE()</f>
        <v>0</v>
      </c>
      <c r="AC203" s="35" t="n">
        <v>4644</v>
      </c>
      <c r="AD203" s="35" t="n">
        <v>4644</v>
      </c>
      <c r="AE203" s="2" t="s">
        <v>242</v>
      </c>
      <c r="AF203" s="35" t="n">
        <v>2322</v>
      </c>
      <c r="AG203" s="34" t="b">
        <f aca="false">FALSE()</f>
        <v>0</v>
      </c>
      <c r="AH203" s="2" t="s">
        <v>412</v>
      </c>
    </row>
    <row r="204" customFormat="false" ht="15" hidden="false" customHeight="false" outlineLevel="0" collapsed="false">
      <c r="A204" s="2" t="s">
        <v>531</v>
      </c>
      <c r="B204" s="2" t="s">
        <v>362</v>
      </c>
      <c r="C204" s="2" t="n">
        <v>21</v>
      </c>
      <c r="D204" s="2" t="s">
        <v>148</v>
      </c>
      <c r="E204" s="2" t="s">
        <v>154</v>
      </c>
      <c r="F204" s="2" t="s">
        <v>233</v>
      </c>
      <c r="G204" s="2" t="s">
        <v>114</v>
      </c>
      <c r="H204" s="2" t="s">
        <v>403</v>
      </c>
      <c r="I204" s="2" t="s">
        <v>122</v>
      </c>
      <c r="J204" s="2" t="s">
        <v>128</v>
      </c>
      <c r="K204" s="2" t="s">
        <v>226</v>
      </c>
      <c r="L204" s="33" t="n">
        <v>44994</v>
      </c>
      <c r="M204" s="33" t="n">
        <v>44998</v>
      </c>
      <c r="N204" s="2" t="n">
        <v>4</v>
      </c>
      <c r="O204" s="2" t="s">
        <v>181</v>
      </c>
      <c r="P204" s="34" t="b">
        <f aca="false">FALSE()</f>
        <v>0</v>
      </c>
      <c r="Q204" s="34" t="b">
        <f aca="false">FALSE()</f>
        <v>0</v>
      </c>
      <c r="R204" s="2" t="n">
        <v>3</v>
      </c>
      <c r="S204" s="2" t="s">
        <v>159</v>
      </c>
      <c r="T204" s="2" t="s">
        <v>234</v>
      </c>
      <c r="U204" s="2" t="s">
        <v>176</v>
      </c>
      <c r="V204" s="34" t="b">
        <f aca="false">FALSE()</f>
        <v>0</v>
      </c>
      <c r="W204" s="2" t="s">
        <v>139</v>
      </c>
      <c r="X204" s="2" t="s">
        <v>228</v>
      </c>
      <c r="Y204" s="34" t="b">
        <f aca="false">TRUE()</f>
        <v>1</v>
      </c>
      <c r="Z204" s="2" t="s">
        <v>143</v>
      </c>
      <c r="AA204" s="2" t="s">
        <v>236</v>
      </c>
      <c r="AB204" s="34" t="b">
        <f aca="false">FALSE()</f>
        <v>0</v>
      </c>
      <c r="AC204" s="35"/>
      <c r="AD204" s="35" t="n">
        <v>3852</v>
      </c>
      <c r="AE204" s="2" t="s">
        <v>230</v>
      </c>
      <c r="AF204" s="35"/>
      <c r="AG204" s="34" t="b">
        <f aca="false">FALSE()</f>
        <v>0</v>
      </c>
      <c r="AH204" s="2"/>
    </row>
    <row r="205" customFormat="false" ht="15" hidden="false" customHeight="false" outlineLevel="0" collapsed="false">
      <c r="A205" s="2" t="s">
        <v>532</v>
      </c>
      <c r="B205" s="2" t="s">
        <v>509</v>
      </c>
      <c r="C205" s="2" t="n">
        <v>1</v>
      </c>
      <c r="D205" s="2" t="s">
        <v>147</v>
      </c>
      <c r="E205" s="2" t="s">
        <v>154</v>
      </c>
      <c r="F205" s="2" t="s">
        <v>233</v>
      </c>
      <c r="G205" s="2" t="s">
        <v>114</v>
      </c>
      <c r="H205" s="2" t="s">
        <v>403</v>
      </c>
      <c r="I205" s="2" t="s">
        <v>122</v>
      </c>
      <c r="J205" s="2" t="s">
        <v>129</v>
      </c>
      <c r="K205" s="2" t="s">
        <v>260</v>
      </c>
      <c r="L205" s="33" t="n">
        <v>45211</v>
      </c>
      <c r="M205" s="33" t="n">
        <v>45212</v>
      </c>
      <c r="N205" s="2" t="n">
        <v>1</v>
      </c>
      <c r="O205" s="2" t="s">
        <v>180</v>
      </c>
      <c r="P205" s="34" t="b">
        <f aca="false">FALSE()</f>
        <v>0</v>
      </c>
      <c r="Q205" s="34" t="b">
        <f aca="false">FALSE()</f>
        <v>0</v>
      </c>
      <c r="R205" s="2" t="n">
        <v>10</v>
      </c>
      <c r="S205" s="2" t="s">
        <v>166</v>
      </c>
      <c r="T205" s="2" t="s">
        <v>241</v>
      </c>
      <c r="U205" s="2" t="s">
        <v>176</v>
      </c>
      <c r="V205" s="34" t="b">
        <f aca="false">FALSE()</f>
        <v>0</v>
      </c>
      <c r="W205" s="2" t="s">
        <v>138</v>
      </c>
      <c r="X205" s="2" t="s">
        <v>250</v>
      </c>
      <c r="Y205" s="34" t="b">
        <f aca="false">FALSE()</f>
        <v>0</v>
      </c>
      <c r="Z205" s="2" t="s">
        <v>142</v>
      </c>
      <c r="AA205" s="2" t="s">
        <v>256</v>
      </c>
      <c r="AB205" s="34" t="b">
        <f aca="false">FALSE()</f>
        <v>0</v>
      </c>
      <c r="AC205" s="35"/>
      <c r="AD205" s="35" t="n">
        <v>3852</v>
      </c>
      <c r="AE205" s="2" t="s">
        <v>230</v>
      </c>
      <c r="AF205" s="35"/>
      <c r="AG205" s="34" t="b">
        <f aca="false">TRUE()</f>
        <v>1</v>
      </c>
      <c r="AH205" s="2" t="s">
        <v>412</v>
      </c>
    </row>
    <row r="206" customFormat="false" ht="15" hidden="false" customHeight="false" outlineLevel="0" collapsed="false">
      <c r="A206" s="2" t="s">
        <v>533</v>
      </c>
      <c r="B206" s="2" t="s">
        <v>368</v>
      </c>
      <c r="C206" s="2" t="n">
        <v>70</v>
      </c>
      <c r="D206" s="2" t="s">
        <v>150</v>
      </c>
      <c r="E206" s="2" t="s">
        <v>154</v>
      </c>
      <c r="F206" s="2" t="s">
        <v>233</v>
      </c>
      <c r="G206" s="2" t="s">
        <v>114</v>
      </c>
      <c r="H206" s="2" t="s">
        <v>403</v>
      </c>
      <c r="I206" s="2" t="s">
        <v>122</v>
      </c>
      <c r="J206" s="2" t="s">
        <v>134</v>
      </c>
      <c r="K206" s="2" t="s">
        <v>240</v>
      </c>
      <c r="L206" s="33" t="n">
        <v>44941</v>
      </c>
      <c r="M206" s="33" t="n">
        <v>44943</v>
      </c>
      <c r="N206" s="2" t="n">
        <v>2</v>
      </c>
      <c r="O206" s="2" t="s">
        <v>180</v>
      </c>
      <c r="P206" s="34" t="b">
        <f aca="false">FALSE()</f>
        <v>0</v>
      </c>
      <c r="Q206" s="34" t="b">
        <f aca="false">FALSE()</f>
        <v>0</v>
      </c>
      <c r="R206" s="2" t="n">
        <v>1</v>
      </c>
      <c r="S206" s="2" t="s">
        <v>157</v>
      </c>
      <c r="T206" s="2" t="s">
        <v>234</v>
      </c>
      <c r="U206" s="2" t="s">
        <v>172</v>
      </c>
      <c r="V206" s="34" t="b">
        <f aca="false">FALSE()</f>
        <v>0</v>
      </c>
      <c r="W206" s="2" t="s">
        <v>137</v>
      </c>
      <c r="X206" s="2" t="s">
        <v>235</v>
      </c>
      <c r="Y206" s="34" t="b">
        <f aca="false">FALSE()</f>
        <v>0</v>
      </c>
      <c r="Z206" s="2" t="s">
        <v>142</v>
      </c>
      <c r="AA206" s="2" t="s">
        <v>256</v>
      </c>
      <c r="AB206" s="34" t="b">
        <f aca="false">FALSE()</f>
        <v>0</v>
      </c>
      <c r="AC206" s="35"/>
      <c r="AD206" s="35" t="n">
        <v>999</v>
      </c>
      <c r="AE206" s="2" t="s">
        <v>257</v>
      </c>
      <c r="AF206" s="35"/>
      <c r="AG206" s="34" t="b">
        <f aca="false">FALSE()</f>
        <v>0</v>
      </c>
      <c r="AH206" s="2"/>
    </row>
    <row r="207" customFormat="false" ht="15" hidden="false" customHeight="false" outlineLevel="0" collapsed="false">
      <c r="A207" s="2" t="s">
        <v>534</v>
      </c>
      <c r="B207" s="2" t="s">
        <v>535</v>
      </c>
      <c r="C207" s="2" t="n">
        <v>63</v>
      </c>
      <c r="D207" s="2" t="s">
        <v>150</v>
      </c>
      <c r="E207" s="2" t="s">
        <v>153</v>
      </c>
      <c r="F207" s="2" t="s">
        <v>224</v>
      </c>
      <c r="G207" s="2" t="s">
        <v>114</v>
      </c>
      <c r="H207" s="2" t="s">
        <v>403</v>
      </c>
      <c r="I207" s="2" t="s">
        <v>122</v>
      </c>
      <c r="J207" s="2" t="s">
        <v>130</v>
      </c>
      <c r="K207" s="2" t="s">
        <v>245</v>
      </c>
      <c r="L207" s="33" t="n">
        <v>45158</v>
      </c>
      <c r="M207" s="33" t="n">
        <v>45161</v>
      </c>
      <c r="N207" s="2" t="n">
        <v>3</v>
      </c>
      <c r="O207" s="2" t="s">
        <v>180</v>
      </c>
      <c r="P207" s="34" t="b">
        <f aca="false">FALSE()</f>
        <v>0</v>
      </c>
      <c r="Q207" s="34" t="b">
        <f aca="false">FALSE()</f>
        <v>0</v>
      </c>
      <c r="R207" s="2" t="n">
        <v>8</v>
      </c>
      <c r="S207" s="2" t="s">
        <v>164</v>
      </c>
      <c r="T207" s="2" t="s">
        <v>227</v>
      </c>
      <c r="U207" s="2" t="s">
        <v>172</v>
      </c>
      <c r="V207" s="34" t="b">
        <f aca="false">FALSE()</f>
        <v>0</v>
      </c>
      <c r="W207" s="2" t="s">
        <v>138</v>
      </c>
      <c r="X207" s="2" t="s">
        <v>250</v>
      </c>
      <c r="Y207" s="34" t="b">
        <f aca="false">FALSE()</f>
        <v>0</v>
      </c>
      <c r="Z207" s="2" t="s">
        <v>142</v>
      </c>
      <c r="AA207" s="2" t="s">
        <v>256</v>
      </c>
      <c r="AB207" s="34" t="b">
        <f aca="false">FALSE()</f>
        <v>0</v>
      </c>
      <c r="AC207" s="35"/>
      <c r="AD207" s="35" t="n">
        <v>3852</v>
      </c>
      <c r="AE207" s="2" t="s">
        <v>230</v>
      </c>
      <c r="AF207" s="35"/>
      <c r="AG207" s="34" t="b">
        <f aca="false">FALSE()</f>
        <v>0</v>
      </c>
      <c r="AH207" s="2"/>
    </row>
    <row r="208" customFormat="false" ht="15" hidden="false" customHeight="false" outlineLevel="0" collapsed="false">
      <c r="A208" s="2" t="s">
        <v>536</v>
      </c>
      <c r="B208" s="2" t="s">
        <v>238</v>
      </c>
      <c r="C208" s="2" t="n">
        <v>62</v>
      </c>
      <c r="D208" s="2" t="s">
        <v>150</v>
      </c>
      <c r="E208" s="2" t="s">
        <v>154</v>
      </c>
      <c r="F208" s="2" t="s">
        <v>233</v>
      </c>
      <c r="G208" s="2" t="s">
        <v>114</v>
      </c>
      <c r="H208" s="2" t="s">
        <v>403</v>
      </c>
      <c r="I208" s="2" t="s">
        <v>122</v>
      </c>
      <c r="J208" s="2" t="s">
        <v>132</v>
      </c>
      <c r="K208" s="2" t="s">
        <v>249</v>
      </c>
      <c r="L208" s="33" t="n">
        <v>45118</v>
      </c>
      <c r="M208" s="33" t="n">
        <v>45120</v>
      </c>
      <c r="N208" s="2" t="n">
        <v>2</v>
      </c>
      <c r="O208" s="2" t="s">
        <v>180</v>
      </c>
      <c r="P208" s="34" t="b">
        <f aca="false">FALSE()</f>
        <v>0</v>
      </c>
      <c r="Q208" s="34" t="b">
        <f aca="false">FALSE()</f>
        <v>0</v>
      </c>
      <c r="R208" s="2" t="n">
        <v>7</v>
      </c>
      <c r="S208" s="2" t="s">
        <v>163</v>
      </c>
      <c r="T208" s="2" t="s">
        <v>227</v>
      </c>
      <c r="U208" s="2" t="s">
        <v>174</v>
      </c>
      <c r="V208" s="34" t="b">
        <f aca="false">FALSE()</f>
        <v>0</v>
      </c>
      <c r="W208" s="2" t="s">
        <v>138</v>
      </c>
      <c r="X208" s="2" t="s">
        <v>250</v>
      </c>
      <c r="Y208" s="34" t="b">
        <f aca="false">FALSE()</f>
        <v>0</v>
      </c>
      <c r="Z208" s="2" t="s">
        <v>143</v>
      </c>
      <c r="AA208" s="2" t="s">
        <v>236</v>
      </c>
      <c r="AB208" s="34" t="b">
        <f aca="false">FALSE()</f>
        <v>0</v>
      </c>
      <c r="AC208" s="35"/>
      <c r="AD208" s="35" t="n">
        <v>3852</v>
      </c>
      <c r="AE208" s="2" t="s">
        <v>230</v>
      </c>
      <c r="AF208" s="35"/>
      <c r="AG208" s="34" t="b">
        <f aca="false">TRUE()</f>
        <v>1</v>
      </c>
      <c r="AH208" s="2"/>
    </row>
    <row r="209" customFormat="false" ht="15" hidden="false" customHeight="false" outlineLevel="0" collapsed="false">
      <c r="A209" s="2" t="s">
        <v>537</v>
      </c>
      <c r="B209" s="2" t="s">
        <v>282</v>
      </c>
      <c r="C209" s="2" t="n">
        <v>9</v>
      </c>
      <c r="D209" s="2" t="s">
        <v>147</v>
      </c>
      <c r="E209" s="2" t="s">
        <v>153</v>
      </c>
      <c r="F209" s="2" t="s">
        <v>224</v>
      </c>
      <c r="G209" s="2" t="s">
        <v>114</v>
      </c>
      <c r="H209" s="2" t="s">
        <v>403</v>
      </c>
      <c r="I209" s="2" t="s">
        <v>122</v>
      </c>
      <c r="J209" s="2" t="s">
        <v>134</v>
      </c>
      <c r="K209" s="2" t="s">
        <v>240</v>
      </c>
      <c r="L209" s="33" t="n">
        <v>45257</v>
      </c>
      <c r="M209" s="33" t="n">
        <v>45260</v>
      </c>
      <c r="N209" s="2" t="n">
        <v>3</v>
      </c>
      <c r="O209" s="2" t="s">
        <v>180</v>
      </c>
      <c r="P209" s="34" t="b">
        <f aca="false">FALSE()</f>
        <v>0</v>
      </c>
      <c r="Q209" s="34" t="b">
        <f aca="false">FALSE()</f>
        <v>0</v>
      </c>
      <c r="R209" s="2" t="n">
        <v>11</v>
      </c>
      <c r="S209" s="2" t="s">
        <v>167</v>
      </c>
      <c r="T209" s="2" t="s">
        <v>241</v>
      </c>
      <c r="U209" s="2" t="s">
        <v>173</v>
      </c>
      <c r="V209" s="34" t="b">
        <f aca="false">FALSE()</f>
        <v>0</v>
      </c>
      <c r="W209" s="2" t="s">
        <v>139</v>
      </c>
      <c r="X209" s="2" t="s">
        <v>228</v>
      </c>
      <c r="Y209" s="34" t="b">
        <f aca="false">TRUE()</f>
        <v>1</v>
      </c>
      <c r="Z209" s="2" t="s">
        <v>142</v>
      </c>
      <c r="AA209" s="2" t="s">
        <v>256</v>
      </c>
      <c r="AB209" s="34" t="b">
        <f aca="false">FALSE()</f>
        <v>0</v>
      </c>
      <c r="AC209" s="35"/>
      <c r="AD209" s="35" t="n">
        <v>999</v>
      </c>
      <c r="AE209" s="2" t="s">
        <v>257</v>
      </c>
      <c r="AF209" s="35"/>
      <c r="AG209" s="34" t="b">
        <f aca="false">FALSE()</f>
        <v>0</v>
      </c>
      <c r="AH209" s="2" t="s">
        <v>412</v>
      </c>
    </row>
    <row r="210" customFormat="false" ht="15" hidden="false" customHeight="false" outlineLevel="0" collapsed="false">
      <c r="A210" s="2" t="s">
        <v>538</v>
      </c>
      <c r="B210" s="2" t="s">
        <v>303</v>
      </c>
      <c r="C210" s="2" t="n">
        <v>41</v>
      </c>
      <c r="D210" s="2" t="s">
        <v>149</v>
      </c>
      <c r="E210" s="2" t="s">
        <v>153</v>
      </c>
      <c r="F210" s="2" t="s">
        <v>224</v>
      </c>
      <c r="G210" s="2" t="s">
        <v>114</v>
      </c>
      <c r="H210" s="2" t="s">
        <v>403</v>
      </c>
      <c r="I210" s="2" t="s">
        <v>122</v>
      </c>
      <c r="J210" s="2" t="s">
        <v>133</v>
      </c>
      <c r="K210" s="2" t="s">
        <v>255</v>
      </c>
      <c r="L210" s="33" t="n">
        <v>44942</v>
      </c>
      <c r="M210" s="33" t="n">
        <v>44948</v>
      </c>
      <c r="N210" s="2" t="n">
        <v>6</v>
      </c>
      <c r="O210" s="2" t="s">
        <v>181</v>
      </c>
      <c r="P210" s="34" t="b">
        <f aca="false">FALSE()</f>
        <v>0</v>
      </c>
      <c r="Q210" s="34" t="b">
        <f aca="false">FALSE()</f>
        <v>0</v>
      </c>
      <c r="R210" s="2" t="n">
        <v>1</v>
      </c>
      <c r="S210" s="2" t="s">
        <v>157</v>
      </c>
      <c r="T210" s="2" t="s">
        <v>234</v>
      </c>
      <c r="U210" s="2" t="s">
        <v>173</v>
      </c>
      <c r="V210" s="34" t="b">
        <f aca="false">FALSE()</f>
        <v>0</v>
      </c>
      <c r="W210" s="2" t="s">
        <v>137</v>
      </c>
      <c r="X210" s="2" t="s">
        <v>235</v>
      </c>
      <c r="Y210" s="34" t="b">
        <f aca="false">FALSE()</f>
        <v>0</v>
      </c>
      <c r="Z210" s="2" t="s">
        <v>142</v>
      </c>
      <c r="AA210" s="2" t="s">
        <v>256</v>
      </c>
      <c r="AB210" s="34" t="b">
        <f aca="false">FALSE()</f>
        <v>0</v>
      </c>
      <c r="AC210" s="35" t="n">
        <v>3293</v>
      </c>
      <c r="AD210" s="35" t="n">
        <v>3293</v>
      </c>
      <c r="AE210" s="2" t="s">
        <v>242</v>
      </c>
      <c r="AF210" s="35" t="n">
        <v>548.83</v>
      </c>
      <c r="AG210" s="34" t="b">
        <f aca="false">FALSE()</f>
        <v>0</v>
      </c>
      <c r="AH210" s="2"/>
    </row>
    <row r="211" customFormat="false" ht="15" hidden="false" customHeight="false" outlineLevel="0" collapsed="false">
      <c r="A211" s="2" t="s">
        <v>539</v>
      </c>
      <c r="B211" s="2" t="s">
        <v>238</v>
      </c>
      <c r="C211" s="2" t="n">
        <v>53</v>
      </c>
      <c r="D211" s="2" t="s">
        <v>149</v>
      </c>
      <c r="E211" s="2" t="s">
        <v>154</v>
      </c>
      <c r="F211" s="2" t="s">
        <v>233</v>
      </c>
      <c r="G211" s="2" t="s">
        <v>114</v>
      </c>
      <c r="H211" s="2" t="s">
        <v>403</v>
      </c>
      <c r="I211" s="2" t="s">
        <v>122</v>
      </c>
      <c r="J211" s="2" t="s">
        <v>134</v>
      </c>
      <c r="K211" s="2" t="s">
        <v>240</v>
      </c>
      <c r="L211" s="33" t="n">
        <v>45195</v>
      </c>
      <c r="M211" s="33" t="n">
        <v>45202</v>
      </c>
      <c r="N211" s="2" t="n">
        <v>7</v>
      </c>
      <c r="O211" s="2" t="s">
        <v>181</v>
      </c>
      <c r="P211" s="34" t="b">
        <f aca="false">FALSE()</f>
        <v>0</v>
      </c>
      <c r="Q211" s="34" t="b">
        <f aca="false">FALSE()</f>
        <v>0</v>
      </c>
      <c r="R211" s="2" t="n">
        <v>9</v>
      </c>
      <c r="S211" s="2" t="s">
        <v>165</v>
      </c>
      <c r="T211" s="2" t="s">
        <v>227</v>
      </c>
      <c r="U211" s="2" t="s">
        <v>174</v>
      </c>
      <c r="V211" s="34" t="b">
        <f aca="false">FALSE()</f>
        <v>0</v>
      </c>
      <c r="W211" s="2" t="s">
        <v>137</v>
      </c>
      <c r="X211" s="2" t="s">
        <v>235</v>
      </c>
      <c r="Y211" s="34" t="b">
        <f aca="false">FALSE()</f>
        <v>0</v>
      </c>
      <c r="Z211" s="2" t="s">
        <v>144</v>
      </c>
      <c r="AA211" s="2" t="s">
        <v>229</v>
      </c>
      <c r="AB211" s="34" t="b">
        <f aca="false">TRUE()</f>
        <v>1</v>
      </c>
      <c r="AC211" s="35"/>
      <c r="AD211" s="35" t="n">
        <v>999</v>
      </c>
      <c r="AE211" s="2" t="s">
        <v>257</v>
      </c>
      <c r="AF211" s="35"/>
      <c r="AG211" s="34" t="b">
        <f aca="false">FALSE()</f>
        <v>0</v>
      </c>
      <c r="AH211" s="2"/>
    </row>
    <row r="212" customFormat="false" ht="15" hidden="false" customHeight="false" outlineLevel="0" collapsed="false">
      <c r="A212" s="2" t="s">
        <v>540</v>
      </c>
      <c r="B212" s="2" t="s">
        <v>338</v>
      </c>
      <c r="C212" s="2" t="n">
        <v>14</v>
      </c>
      <c r="D212" s="2" t="s">
        <v>147</v>
      </c>
      <c r="E212" s="2" t="s">
        <v>154</v>
      </c>
      <c r="F212" s="2" t="s">
        <v>233</v>
      </c>
      <c r="G212" s="2" t="s">
        <v>114</v>
      </c>
      <c r="H212" s="2" t="s">
        <v>403</v>
      </c>
      <c r="I212" s="2" t="s">
        <v>122</v>
      </c>
      <c r="J212" s="2" t="s">
        <v>134</v>
      </c>
      <c r="K212" s="2" t="s">
        <v>240</v>
      </c>
      <c r="L212" s="33" t="n">
        <v>45263</v>
      </c>
      <c r="M212" s="33" t="n">
        <v>45266</v>
      </c>
      <c r="N212" s="2" t="n">
        <v>3</v>
      </c>
      <c r="O212" s="2" t="s">
        <v>180</v>
      </c>
      <c r="P212" s="34" t="b">
        <f aca="false">FALSE()</f>
        <v>0</v>
      </c>
      <c r="Q212" s="34" t="b">
        <f aca="false">FALSE()</f>
        <v>0</v>
      </c>
      <c r="R212" s="2" t="n">
        <v>12</v>
      </c>
      <c r="S212" s="2" t="s">
        <v>168</v>
      </c>
      <c r="T212" s="2" t="s">
        <v>241</v>
      </c>
      <c r="U212" s="2" t="s">
        <v>172</v>
      </c>
      <c r="V212" s="34" t="b">
        <f aca="false">FALSE()</f>
        <v>0</v>
      </c>
      <c r="W212" s="2" t="s">
        <v>137</v>
      </c>
      <c r="X212" s="2" t="s">
        <v>235</v>
      </c>
      <c r="Y212" s="34" t="b">
        <f aca="false">FALSE()</f>
        <v>0</v>
      </c>
      <c r="Z212" s="2" t="s">
        <v>144</v>
      </c>
      <c r="AA212" s="2" t="s">
        <v>229</v>
      </c>
      <c r="AB212" s="34" t="b">
        <f aca="false">TRUE()</f>
        <v>1</v>
      </c>
      <c r="AC212" s="35"/>
      <c r="AD212" s="35" t="n">
        <v>999</v>
      </c>
      <c r="AE212" s="2" t="s">
        <v>257</v>
      </c>
      <c r="AF212" s="35"/>
      <c r="AG212" s="34" t="b">
        <f aca="false">FALSE()</f>
        <v>0</v>
      </c>
      <c r="AH212" s="2"/>
    </row>
    <row r="213" customFormat="false" ht="15" hidden="false" customHeight="false" outlineLevel="0" collapsed="false">
      <c r="A213" s="2" t="s">
        <v>541</v>
      </c>
      <c r="B213" s="2" t="s">
        <v>368</v>
      </c>
      <c r="C213" s="2" t="n">
        <v>6</v>
      </c>
      <c r="D213" s="2" t="s">
        <v>147</v>
      </c>
      <c r="E213" s="2" t="s">
        <v>154</v>
      </c>
      <c r="F213" s="2" t="s">
        <v>233</v>
      </c>
      <c r="G213" s="2" t="s">
        <v>114</v>
      </c>
      <c r="H213" s="2" t="s">
        <v>403</v>
      </c>
      <c r="I213" s="2" t="s">
        <v>122</v>
      </c>
      <c r="J213" s="2" t="s">
        <v>132</v>
      </c>
      <c r="K213" s="2" t="s">
        <v>249</v>
      </c>
      <c r="L213" s="33" t="n">
        <v>45007</v>
      </c>
      <c r="M213" s="33" t="n">
        <v>45010</v>
      </c>
      <c r="N213" s="2" t="n">
        <v>3</v>
      </c>
      <c r="O213" s="2" t="s">
        <v>180</v>
      </c>
      <c r="P213" s="34" t="b">
        <f aca="false">FALSE()</f>
        <v>0</v>
      </c>
      <c r="Q213" s="34" t="b">
        <f aca="false">FALSE()</f>
        <v>0</v>
      </c>
      <c r="R213" s="2" t="n">
        <v>3</v>
      </c>
      <c r="S213" s="2" t="s">
        <v>159</v>
      </c>
      <c r="T213" s="2" t="s">
        <v>234</v>
      </c>
      <c r="U213" s="2" t="s">
        <v>175</v>
      </c>
      <c r="V213" s="34" t="b">
        <f aca="false">FALSE()</f>
        <v>0</v>
      </c>
      <c r="W213" s="2" t="s">
        <v>138</v>
      </c>
      <c r="X213" s="2" t="s">
        <v>250</v>
      </c>
      <c r="Y213" s="34" t="b">
        <f aca="false">FALSE()</f>
        <v>0</v>
      </c>
      <c r="Z213" s="2" t="s">
        <v>142</v>
      </c>
      <c r="AA213" s="2" t="s">
        <v>256</v>
      </c>
      <c r="AB213" s="34" t="b">
        <f aca="false">FALSE()</f>
        <v>0</v>
      </c>
      <c r="AC213" s="35"/>
      <c r="AD213" s="35" t="n">
        <v>3852</v>
      </c>
      <c r="AE213" s="2" t="s">
        <v>230</v>
      </c>
      <c r="AF213" s="35"/>
      <c r="AG213" s="34" t="b">
        <f aca="false">TRUE()</f>
        <v>1</v>
      </c>
      <c r="AH213" s="2" t="s">
        <v>412</v>
      </c>
    </row>
    <row r="214" customFormat="false" ht="15" hidden="false" customHeight="false" outlineLevel="0" collapsed="false">
      <c r="A214" s="2" t="s">
        <v>542</v>
      </c>
      <c r="B214" s="2" t="s">
        <v>280</v>
      </c>
      <c r="C214" s="2" t="n">
        <v>86</v>
      </c>
      <c r="D214" s="2" t="s">
        <v>150</v>
      </c>
      <c r="E214" s="2" t="s">
        <v>154</v>
      </c>
      <c r="F214" s="2" t="s">
        <v>233</v>
      </c>
      <c r="G214" s="2" t="s">
        <v>117</v>
      </c>
      <c r="H214" s="2" t="s">
        <v>410</v>
      </c>
      <c r="I214" s="2" t="s">
        <v>125</v>
      </c>
      <c r="J214" s="2" t="s">
        <v>132</v>
      </c>
      <c r="K214" s="2" t="s">
        <v>249</v>
      </c>
      <c r="L214" s="33" t="n">
        <v>44966</v>
      </c>
      <c r="M214" s="33" t="n">
        <v>44975</v>
      </c>
      <c r="N214" s="2" t="n">
        <v>9</v>
      </c>
      <c r="O214" s="2" t="s">
        <v>182</v>
      </c>
      <c r="P214" s="34" t="b">
        <f aca="false">TRUE()</f>
        <v>1</v>
      </c>
      <c r="Q214" s="34" t="b">
        <f aca="false">FALSE()</f>
        <v>0</v>
      </c>
      <c r="R214" s="2" t="n">
        <v>2</v>
      </c>
      <c r="S214" s="2" t="s">
        <v>158</v>
      </c>
      <c r="T214" s="2" t="s">
        <v>234</v>
      </c>
      <c r="U214" s="2" t="s">
        <v>176</v>
      </c>
      <c r="V214" s="34" t="b">
        <f aca="false">FALSE()</f>
        <v>0</v>
      </c>
      <c r="W214" s="2" t="s">
        <v>137</v>
      </c>
      <c r="X214" s="2" t="s">
        <v>235</v>
      </c>
      <c r="Y214" s="34" t="b">
        <f aca="false">FALSE()</f>
        <v>0</v>
      </c>
      <c r="Z214" s="2" t="s">
        <v>142</v>
      </c>
      <c r="AA214" s="2" t="s">
        <v>256</v>
      </c>
      <c r="AB214" s="34" t="b">
        <f aca="false">FALSE()</f>
        <v>0</v>
      </c>
      <c r="AC214" s="35"/>
      <c r="AD214" s="35" t="n">
        <v>999</v>
      </c>
      <c r="AE214" s="2" t="s">
        <v>257</v>
      </c>
      <c r="AF214" s="35"/>
      <c r="AG214" s="34" t="b">
        <f aca="false">FALSE()</f>
        <v>0</v>
      </c>
      <c r="AH214" s="2"/>
    </row>
    <row r="215" customFormat="false" ht="15" hidden="false" customHeight="false" outlineLevel="0" collapsed="false">
      <c r="A215" s="2" t="s">
        <v>543</v>
      </c>
      <c r="B215" s="2" t="s">
        <v>509</v>
      </c>
      <c r="C215" s="2" t="n">
        <v>31</v>
      </c>
      <c r="D215" s="2" t="s">
        <v>148</v>
      </c>
      <c r="E215" s="2" t="s">
        <v>154</v>
      </c>
      <c r="F215" s="2" t="s">
        <v>233</v>
      </c>
      <c r="G215" s="2" t="s">
        <v>116</v>
      </c>
      <c r="H215" s="2" t="s">
        <v>457</v>
      </c>
      <c r="I215" s="2" t="s">
        <v>125</v>
      </c>
      <c r="J215" s="2" t="s">
        <v>132</v>
      </c>
      <c r="K215" s="2" t="s">
        <v>249</v>
      </c>
      <c r="L215" s="33" t="n">
        <v>45049</v>
      </c>
      <c r="M215" s="33" t="n">
        <v>45050</v>
      </c>
      <c r="N215" s="2" t="n">
        <v>1</v>
      </c>
      <c r="O215" s="2" t="s">
        <v>180</v>
      </c>
      <c r="P215" s="34" t="b">
        <f aca="false">FALSE()</f>
        <v>0</v>
      </c>
      <c r="Q215" s="34" t="b">
        <f aca="false">FALSE()</f>
        <v>0</v>
      </c>
      <c r="R215" s="2" t="n">
        <v>5</v>
      </c>
      <c r="S215" s="2" t="s">
        <v>161</v>
      </c>
      <c r="T215" s="2" t="s">
        <v>246</v>
      </c>
      <c r="U215" s="2" t="s">
        <v>175</v>
      </c>
      <c r="V215" s="34" t="b">
        <f aca="false">FALSE()</f>
        <v>0</v>
      </c>
      <c r="W215" s="2" t="s">
        <v>139</v>
      </c>
      <c r="X215" s="2" t="s">
        <v>228</v>
      </c>
      <c r="Y215" s="34" t="b">
        <f aca="false">TRUE()</f>
        <v>1</v>
      </c>
      <c r="Z215" s="2" t="s">
        <v>144</v>
      </c>
      <c r="AA215" s="2" t="s">
        <v>229</v>
      </c>
      <c r="AB215" s="34" t="b">
        <f aca="false">TRUE()</f>
        <v>1</v>
      </c>
      <c r="AC215" s="35" t="n">
        <v>1484</v>
      </c>
      <c r="AD215" s="35" t="n">
        <v>1484</v>
      </c>
      <c r="AE215" s="2" t="s">
        <v>242</v>
      </c>
      <c r="AF215" s="35" t="n">
        <v>1484</v>
      </c>
      <c r="AG215" s="34" t="b">
        <f aca="false">FALSE()</f>
        <v>0</v>
      </c>
      <c r="AH215" s="2"/>
    </row>
    <row r="216" customFormat="false" ht="15" hidden="false" customHeight="false" outlineLevel="0" collapsed="false">
      <c r="A216" s="2" t="s">
        <v>544</v>
      </c>
      <c r="B216" s="2" t="s">
        <v>501</v>
      </c>
      <c r="C216" s="2" t="n">
        <v>6</v>
      </c>
      <c r="D216" s="2" t="s">
        <v>147</v>
      </c>
      <c r="E216" s="2" t="s">
        <v>153</v>
      </c>
      <c r="F216" s="2" t="s">
        <v>224</v>
      </c>
      <c r="G216" s="2" t="s">
        <v>116</v>
      </c>
      <c r="H216" s="2" t="s">
        <v>457</v>
      </c>
      <c r="I216" s="2" t="s">
        <v>125</v>
      </c>
      <c r="J216" s="2" t="s">
        <v>129</v>
      </c>
      <c r="K216" s="2" t="s">
        <v>260</v>
      </c>
      <c r="L216" s="33" t="n">
        <v>45076</v>
      </c>
      <c r="M216" s="33" t="n">
        <v>45078</v>
      </c>
      <c r="N216" s="2" t="n">
        <v>2</v>
      </c>
      <c r="O216" s="2" t="s">
        <v>180</v>
      </c>
      <c r="P216" s="34" t="b">
        <f aca="false">FALSE()</f>
        <v>0</v>
      </c>
      <c r="Q216" s="34" t="b">
        <f aca="false">FALSE()</f>
        <v>0</v>
      </c>
      <c r="R216" s="2" t="n">
        <v>5</v>
      </c>
      <c r="S216" s="2" t="s">
        <v>161</v>
      </c>
      <c r="T216" s="2" t="s">
        <v>246</v>
      </c>
      <c r="U216" s="2" t="s">
        <v>174</v>
      </c>
      <c r="V216" s="34" t="b">
        <f aca="false">FALSE()</f>
        <v>0</v>
      </c>
      <c r="W216" s="2" t="s">
        <v>139</v>
      </c>
      <c r="X216" s="2" t="s">
        <v>228</v>
      </c>
      <c r="Y216" s="34" t="b">
        <f aca="false">TRUE()</f>
        <v>1</v>
      </c>
      <c r="Z216" s="2" t="s">
        <v>143</v>
      </c>
      <c r="AA216" s="2" t="s">
        <v>236</v>
      </c>
      <c r="AB216" s="34" t="b">
        <f aca="false">FALSE()</f>
        <v>0</v>
      </c>
      <c r="AC216" s="35"/>
      <c r="AD216" s="35" t="n">
        <v>3852</v>
      </c>
      <c r="AE216" s="2" t="s">
        <v>230</v>
      </c>
      <c r="AF216" s="35"/>
      <c r="AG216" s="34" t="b">
        <f aca="false">TRUE()</f>
        <v>1</v>
      </c>
      <c r="AH216" s="2"/>
    </row>
    <row r="217" customFormat="false" ht="15" hidden="false" customHeight="false" outlineLevel="0" collapsed="false">
      <c r="A217" s="2" t="s">
        <v>545</v>
      </c>
      <c r="B217" s="2" t="s">
        <v>334</v>
      </c>
      <c r="C217" s="2" t="n">
        <v>88</v>
      </c>
      <c r="D217" s="2" t="s">
        <v>150</v>
      </c>
      <c r="E217" s="2" t="s">
        <v>154</v>
      </c>
      <c r="F217" s="2" t="s">
        <v>233</v>
      </c>
      <c r="G217" s="2" t="s">
        <v>116</v>
      </c>
      <c r="H217" s="2" t="s">
        <v>457</v>
      </c>
      <c r="I217" s="2" t="s">
        <v>125</v>
      </c>
      <c r="J217" s="2" t="s">
        <v>131</v>
      </c>
      <c r="K217" s="2" t="s">
        <v>263</v>
      </c>
      <c r="L217" s="33" t="n">
        <v>45235</v>
      </c>
      <c r="M217" s="33" t="n">
        <v>45240</v>
      </c>
      <c r="N217" s="2" t="n">
        <v>5</v>
      </c>
      <c r="O217" s="2" t="s">
        <v>181</v>
      </c>
      <c r="P217" s="34" t="b">
        <f aca="false">FALSE()</f>
        <v>0</v>
      </c>
      <c r="Q217" s="34" t="b">
        <f aca="false">FALSE()</f>
        <v>0</v>
      </c>
      <c r="R217" s="2" t="n">
        <v>11</v>
      </c>
      <c r="S217" s="2" t="s">
        <v>167</v>
      </c>
      <c r="T217" s="2" t="s">
        <v>241</v>
      </c>
      <c r="U217" s="2" t="s">
        <v>172</v>
      </c>
      <c r="V217" s="34" t="b">
        <f aca="false">FALSE()</f>
        <v>0</v>
      </c>
      <c r="W217" s="2" t="s">
        <v>137</v>
      </c>
      <c r="X217" s="2" t="s">
        <v>235</v>
      </c>
      <c r="Y217" s="34" t="b">
        <f aca="false">FALSE()</f>
        <v>0</v>
      </c>
      <c r="Z217" s="2" t="s">
        <v>144</v>
      </c>
      <c r="AA217" s="2" t="s">
        <v>229</v>
      </c>
      <c r="AB217" s="34" t="b">
        <f aca="false">TRUE()</f>
        <v>1</v>
      </c>
      <c r="AC217" s="35"/>
      <c r="AD217" s="35" t="n">
        <v>3852</v>
      </c>
      <c r="AE217" s="2" t="s">
        <v>230</v>
      </c>
      <c r="AF217" s="35"/>
      <c r="AG217" s="34" t="b">
        <f aca="false">FALSE()</f>
        <v>0</v>
      </c>
      <c r="AH217" s="2"/>
    </row>
    <row r="218" customFormat="false" ht="15" hidden="false" customHeight="false" outlineLevel="0" collapsed="false">
      <c r="A218" s="2" t="s">
        <v>546</v>
      </c>
      <c r="B218" s="2" t="s">
        <v>441</v>
      </c>
      <c r="C218" s="2" t="n">
        <v>81</v>
      </c>
      <c r="D218" s="2" t="s">
        <v>150</v>
      </c>
      <c r="E218" s="2" t="s">
        <v>154</v>
      </c>
      <c r="F218" s="2" t="s">
        <v>233</v>
      </c>
      <c r="G218" s="2" t="s">
        <v>116</v>
      </c>
      <c r="H218" s="2" t="s">
        <v>457</v>
      </c>
      <c r="I218" s="2" t="s">
        <v>125</v>
      </c>
      <c r="J218" s="2" t="s">
        <v>129</v>
      </c>
      <c r="K218" s="2" t="s">
        <v>260</v>
      </c>
      <c r="L218" s="33" t="n">
        <v>45101</v>
      </c>
      <c r="M218" s="33" t="n">
        <v>45102</v>
      </c>
      <c r="N218" s="2" t="n">
        <v>1</v>
      </c>
      <c r="O218" s="2" t="s">
        <v>180</v>
      </c>
      <c r="P218" s="34" t="b">
        <f aca="false">FALSE()</f>
        <v>0</v>
      </c>
      <c r="Q218" s="34" t="b">
        <f aca="false">FALSE()</f>
        <v>0</v>
      </c>
      <c r="R218" s="2" t="n">
        <v>6</v>
      </c>
      <c r="S218" s="2" t="s">
        <v>162</v>
      </c>
      <c r="T218" s="2" t="s">
        <v>246</v>
      </c>
      <c r="U218" s="2" t="s">
        <v>171</v>
      </c>
      <c r="V218" s="34" t="b">
        <f aca="false">TRUE()</f>
        <v>1</v>
      </c>
      <c r="W218" s="2" t="s">
        <v>137</v>
      </c>
      <c r="X218" s="2" t="s">
        <v>235</v>
      </c>
      <c r="Y218" s="34" t="b">
        <f aca="false">FALSE()</f>
        <v>0</v>
      </c>
      <c r="Z218" s="2" t="s">
        <v>142</v>
      </c>
      <c r="AA218" s="2" t="s">
        <v>256</v>
      </c>
      <c r="AB218" s="34" t="b">
        <f aca="false">FALSE()</f>
        <v>0</v>
      </c>
      <c r="AC218" s="35" t="n">
        <v>535</v>
      </c>
      <c r="AD218" s="35" t="n">
        <v>535</v>
      </c>
      <c r="AE218" s="2" t="s">
        <v>242</v>
      </c>
      <c r="AF218" s="35" t="n">
        <v>535</v>
      </c>
      <c r="AG218" s="34" t="b">
        <f aca="false">FALSE()</f>
        <v>0</v>
      </c>
      <c r="AH218" s="2"/>
    </row>
    <row r="219" customFormat="false" ht="15" hidden="false" customHeight="false" outlineLevel="0" collapsed="false">
      <c r="A219" s="2" t="s">
        <v>547</v>
      </c>
      <c r="B219" s="2" t="s">
        <v>465</v>
      </c>
      <c r="C219" s="2" t="n">
        <v>37</v>
      </c>
      <c r="D219" s="2" t="s">
        <v>148</v>
      </c>
      <c r="E219" s="2" t="s">
        <v>153</v>
      </c>
      <c r="F219" s="2" t="s">
        <v>224</v>
      </c>
      <c r="G219" s="2" t="s">
        <v>116</v>
      </c>
      <c r="H219" s="2" t="s">
        <v>457</v>
      </c>
      <c r="I219" s="2" t="s">
        <v>125</v>
      </c>
      <c r="J219" s="2" t="s">
        <v>131</v>
      </c>
      <c r="K219" s="2" t="s">
        <v>263</v>
      </c>
      <c r="L219" s="33" t="n">
        <v>45182</v>
      </c>
      <c r="M219" s="33" t="n">
        <v>45191</v>
      </c>
      <c r="N219" s="2" t="n">
        <v>9</v>
      </c>
      <c r="O219" s="2" t="s">
        <v>182</v>
      </c>
      <c r="P219" s="34" t="b">
        <f aca="false">TRUE()</f>
        <v>1</v>
      </c>
      <c r="Q219" s="34" t="b">
        <f aca="false">FALSE()</f>
        <v>0</v>
      </c>
      <c r="R219" s="2" t="n">
        <v>9</v>
      </c>
      <c r="S219" s="2" t="s">
        <v>165</v>
      </c>
      <c r="T219" s="2" t="s">
        <v>227</v>
      </c>
      <c r="U219" s="2" t="s">
        <v>175</v>
      </c>
      <c r="V219" s="34" t="b">
        <f aca="false">FALSE()</f>
        <v>0</v>
      </c>
      <c r="W219" s="2" t="s">
        <v>138</v>
      </c>
      <c r="X219" s="2" t="s">
        <v>250</v>
      </c>
      <c r="Y219" s="34" t="b">
        <f aca="false">FALSE()</f>
        <v>0</v>
      </c>
      <c r="Z219" s="2" t="s">
        <v>142</v>
      </c>
      <c r="AA219" s="2" t="s">
        <v>256</v>
      </c>
      <c r="AB219" s="34" t="b">
        <f aca="false">FALSE()</f>
        <v>0</v>
      </c>
      <c r="AC219" s="35"/>
      <c r="AD219" s="35" t="n">
        <v>999</v>
      </c>
      <c r="AE219" s="2" t="s">
        <v>257</v>
      </c>
      <c r="AF219" s="35"/>
      <c r="AG219" s="34" t="b">
        <f aca="false">FALSE()</f>
        <v>0</v>
      </c>
      <c r="AH219" s="2"/>
    </row>
    <row r="220" customFormat="false" ht="15" hidden="false" customHeight="false" outlineLevel="0" collapsed="false">
      <c r="A220" s="2" t="s">
        <v>548</v>
      </c>
      <c r="B220" s="2" t="s">
        <v>321</v>
      </c>
      <c r="C220" s="2" t="n">
        <v>88</v>
      </c>
      <c r="D220" s="2" t="s">
        <v>150</v>
      </c>
      <c r="E220" s="2" t="s">
        <v>154</v>
      </c>
      <c r="F220" s="2" t="s">
        <v>233</v>
      </c>
      <c r="G220" s="2" t="s">
        <v>116</v>
      </c>
      <c r="H220" s="2" t="s">
        <v>457</v>
      </c>
      <c r="I220" s="2" t="s">
        <v>125</v>
      </c>
      <c r="J220" s="2" t="s">
        <v>134</v>
      </c>
      <c r="K220" s="2" t="s">
        <v>240</v>
      </c>
      <c r="L220" s="33" t="n">
        <v>45049</v>
      </c>
      <c r="M220" s="33" t="n">
        <v>45054</v>
      </c>
      <c r="N220" s="2" t="n">
        <v>5</v>
      </c>
      <c r="O220" s="2" t="s">
        <v>181</v>
      </c>
      <c r="P220" s="34" t="b">
        <f aca="false">FALSE()</f>
        <v>0</v>
      </c>
      <c r="Q220" s="34" t="b">
        <f aca="false">FALSE()</f>
        <v>0</v>
      </c>
      <c r="R220" s="2" t="n">
        <v>5</v>
      </c>
      <c r="S220" s="2" t="s">
        <v>161</v>
      </c>
      <c r="T220" s="2" t="s">
        <v>246</v>
      </c>
      <c r="U220" s="2" t="s">
        <v>175</v>
      </c>
      <c r="V220" s="34" t="b">
        <f aca="false">FALSE()</f>
        <v>0</v>
      </c>
      <c r="W220" s="2" t="s">
        <v>138</v>
      </c>
      <c r="X220" s="2" t="s">
        <v>250</v>
      </c>
      <c r="Y220" s="34" t="b">
        <f aca="false">FALSE()</f>
        <v>0</v>
      </c>
      <c r="Z220" s="2" t="s">
        <v>142</v>
      </c>
      <c r="AA220" s="2" t="s">
        <v>256</v>
      </c>
      <c r="AB220" s="34" t="b">
        <f aca="false">FALSE()</f>
        <v>0</v>
      </c>
      <c r="AC220" s="35"/>
      <c r="AD220" s="35" t="n">
        <v>3852</v>
      </c>
      <c r="AE220" s="2" t="s">
        <v>230</v>
      </c>
      <c r="AF220" s="35"/>
      <c r="AG220" s="34" t="b">
        <f aca="false">FALSE()</f>
        <v>0</v>
      </c>
      <c r="AH220" s="2"/>
    </row>
    <row r="221" customFormat="false" ht="15" hidden="false" customHeight="false" outlineLevel="0" collapsed="false">
      <c r="A221" s="2" t="s">
        <v>549</v>
      </c>
      <c r="B221" s="2" t="s">
        <v>535</v>
      </c>
      <c r="C221" s="2" t="n">
        <v>41</v>
      </c>
      <c r="D221" s="2" t="s">
        <v>149</v>
      </c>
      <c r="E221" s="2" t="s">
        <v>153</v>
      </c>
      <c r="F221" s="2" t="s">
        <v>224</v>
      </c>
      <c r="G221" s="2" t="s">
        <v>116</v>
      </c>
      <c r="H221" s="2" t="s">
        <v>457</v>
      </c>
      <c r="I221" s="2" t="s">
        <v>125</v>
      </c>
      <c r="J221" s="2" t="s">
        <v>131</v>
      </c>
      <c r="K221" s="2" t="s">
        <v>263</v>
      </c>
      <c r="L221" s="33" t="n">
        <v>45048</v>
      </c>
      <c r="M221" s="33" t="n">
        <v>45057</v>
      </c>
      <c r="N221" s="2" t="n">
        <v>9</v>
      </c>
      <c r="O221" s="2" t="s">
        <v>182</v>
      </c>
      <c r="P221" s="34" t="b">
        <f aca="false">TRUE()</f>
        <v>1</v>
      </c>
      <c r="Q221" s="34" t="b">
        <f aca="false">FALSE()</f>
        <v>0</v>
      </c>
      <c r="R221" s="2" t="n">
        <v>5</v>
      </c>
      <c r="S221" s="2" t="s">
        <v>161</v>
      </c>
      <c r="T221" s="2" t="s">
        <v>246</v>
      </c>
      <c r="U221" s="2" t="s">
        <v>174</v>
      </c>
      <c r="V221" s="34" t="b">
        <f aca="false">FALSE()</f>
        <v>0</v>
      </c>
      <c r="W221" s="2" t="s">
        <v>138</v>
      </c>
      <c r="X221" s="2" t="s">
        <v>250</v>
      </c>
      <c r="Y221" s="34" t="b">
        <f aca="false">FALSE()</f>
        <v>0</v>
      </c>
      <c r="Z221" s="2" t="s">
        <v>142</v>
      </c>
      <c r="AA221" s="2" t="s">
        <v>256</v>
      </c>
      <c r="AB221" s="34" t="b">
        <f aca="false">FALSE()</f>
        <v>0</v>
      </c>
      <c r="AC221" s="35"/>
      <c r="AD221" s="35" t="n">
        <v>3852</v>
      </c>
      <c r="AE221" s="2" t="s">
        <v>230</v>
      </c>
      <c r="AF221" s="35"/>
      <c r="AG221" s="34" t="b">
        <f aca="false">FALSE()</f>
        <v>0</v>
      </c>
      <c r="AH221" s="2"/>
    </row>
    <row r="222" customFormat="false" ht="15" hidden="false" customHeight="false" outlineLevel="0" collapsed="false">
      <c r="A222" s="2" t="s">
        <v>550</v>
      </c>
      <c r="B222" s="2" t="s">
        <v>454</v>
      </c>
      <c r="C222" s="2" t="n">
        <v>59</v>
      </c>
      <c r="D222" s="2" t="s">
        <v>149</v>
      </c>
      <c r="E222" s="2" t="s">
        <v>154</v>
      </c>
      <c r="F222" s="2" t="s">
        <v>233</v>
      </c>
      <c r="G222" s="2" t="s">
        <v>116</v>
      </c>
      <c r="H222" s="2" t="s">
        <v>457</v>
      </c>
      <c r="I222" s="2" t="s">
        <v>125</v>
      </c>
      <c r="J222" s="2" t="s">
        <v>129</v>
      </c>
      <c r="K222" s="2" t="s">
        <v>260</v>
      </c>
      <c r="L222" s="33" t="n">
        <v>45203</v>
      </c>
      <c r="M222" s="33" t="n">
        <v>45213</v>
      </c>
      <c r="N222" s="2" t="n">
        <v>10</v>
      </c>
      <c r="O222" s="2" t="s">
        <v>182</v>
      </c>
      <c r="P222" s="34" t="b">
        <f aca="false">TRUE()</f>
        <v>1</v>
      </c>
      <c r="Q222" s="34" t="b">
        <f aca="false">FALSE()</f>
        <v>0</v>
      </c>
      <c r="R222" s="2" t="n">
        <v>10</v>
      </c>
      <c r="S222" s="2" t="s">
        <v>166</v>
      </c>
      <c r="T222" s="2" t="s">
        <v>241</v>
      </c>
      <c r="U222" s="2" t="s">
        <v>175</v>
      </c>
      <c r="V222" s="34" t="b">
        <f aca="false">FALSE()</f>
        <v>0</v>
      </c>
      <c r="W222" s="2" t="s">
        <v>139</v>
      </c>
      <c r="X222" s="2" t="s">
        <v>228</v>
      </c>
      <c r="Y222" s="34" t="b">
        <f aca="false">TRUE()</f>
        <v>1</v>
      </c>
      <c r="Z222" s="2" t="s">
        <v>143</v>
      </c>
      <c r="AA222" s="2" t="s">
        <v>236</v>
      </c>
      <c r="AB222" s="34" t="b">
        <f aca="false">FALSE()</f>
        <v>0</v>
      </c>
      <c r="AC222" s="35"/>
      <c r="AD222" s="35" t="n">
        <v>3852</v>
      </c>
      <c r="AE222" s="2" t="s">
        <v>230</v>
      </c>
      <c r="AF222" s="35"/>
      <c r="AG222" s="34" t="b">
        <f aca="false">FALSE()</f>
        <v>0</v>
      </c>
      <c r="AH222" s="2"/>
    </row>
    <row r="223" customFormat="false" ht="15" hidden="false" customHeight="false" outlineLevel="0" collapsed="false">
      <c r="A223" s="2" t="s">
        <v>551</v>
      </c>
      <c r="B223" s="2" t="s">
        <v>321</v>
      </c>
      <c r="C223" s="2" t="n">
        <v>13</v>
      </c>
      <c r="D223" s="2" t="s">
        <v>147</v>
      </c>
      <c r="E223" s="2" t="s">
        <v>153</v>
      </c>
      <c r="F223" s="2" t="s">
        <v>224</v>
      </c>
      <c r="G223" s="2" t="s">
        <v>110</v>
      </c>
      <c r="H223" s="2" t="s">
        <v>355</v>
      </c>
      <c r="I223" s="2" t="s">
        <v>124</v>
      </c>
      <c r="J223" s="2" t="s">
        <v>129</v>
      </c>
      <c r="K223" s="2" t="s">
        <v>260</v>
      </c>
      <c r="L223" s="33" t="n">
        <v>45125</v>
      </c>
      <c r="M223" s="33" t="n">
        <v>45132</v>
      </c>
      <c r="N223" s="2" t="n">
        <v>7</v>
      </c>
      <c r="O223" s="2" t="s">
        <v>181</v>
      </c>
      <c r="P223" s="34" t="b">
        <f aca="false">FALSE()</f>
        <v>0</v>
      </c>
      <c r="Q223" s="34" t="b">
        <f aca="false">FALSE()</f>
        <v>0</v>
      </c>
      <c r="R223" s="2" t="n">
        <v>7</v>
      </c>
      <c r="S223" s="2" t="s">
        <v>163</v>
      </c>
      <c r="T223" s="2" t="s">
        <v>227</v>
      </c>
      <c r="U223" s="2" t="s">
        <v>174</v>
      </c>
      <c r="V223" s="34" t="b">
        <f aca="false">FALSE()</f>
        <v>0</v>
      </c>
      <c r="W223" s="2" t="s">
        <v>139</v>
      </c>
      <c r="X223" s="2" t="s">
        <v>228</v>
      </c>
      <c r="Y223" s="34" t="b">
        <f aca="false">TRUE()</f>
        <v>1</v>
      </c>
      <c r="Z223" s="2" t="s">
        <v>143</v>
      </c>
      <c r="AA223" s="2" t="s">
        <v>236</v>
      </c>
      <c r="AB223" s="34" t="b">
        <f aca="false">FALSE()</f>
        <v>0</v>
      </c>
      <c r="AC223" s="35"/>
      <c r="AD223" s="35" t="n">
        <v>3852</v>
      </c>
      <c r="AE223" s="2" t="s">
        <v>230</v>
      </c>
      <c r="AF223" s="35"/>
      <c r="AG223" s="34" t="b">
        <f aca="false">FALSE()</f>
        <v>0</v>
      </c>
      <c r="AH223" s="2"/>
    </row>
    <row r="224" customFormat="false" ht="15" hidden="false" customHeight="false" outlineLevel="0" collapsed="false">
      <c r="A224" s="2" t="s">
        <v>552</v>
      </c>
      <c r="B224" s="2" t="s">
        <v>298</v>
      </c>
      <c r="C224" s="2" t="n">
        <v>36</v>
      </c>
      <c r="D224" s="2" t="s">
        <v>148</v>
      </c>
      <c r="E224" s="2" t="s">
        <v>154</v>
      </c>
      <c r="F224" s="2" t="s">
        <v>233</v>
      </c>
      <c r="G224" s="2" t="s">
        <v>110</v>
      </c>
      <c r="H224" s="2" t="s">
        <v>355</v>
      </c>
      <c r="I224" s="2" t="s">
        <v>124</v>
      </c>
      <c r="J224" s="2" t="s">
        <v>129</v>
      </c>
      <c r="K224" s="2" t="s">
        <v>260</v>
      </c>
      <c r="L224" s="33" t="n">
        <v>45121</v>
      </c>
      <c r="M224" s="33" t="n">
        <v>45123</v>
      </c>
      <c r="N224" s="2" t="n">
        <v>2</v>
      </c>
      <c r="O224" s="2" t="s">
        <v>180</v>
      </c>
      <c r="P224" s="34" t="b">
        <f aca="false">FALSE()</f>
        <v>0</v>
      </c>
      <c r="Q224" s="34" t="b">
        <f aca="false">FALSE()</f>
        <v>0</v>
      </c>
      <c r="R224" s="2" t="n">
        <v>7</v>
      </c>
      <c r="S224" s="2" t="s">
        <v>163</v>
      </c>
      <c r="T224" s="2" t="s">
        <v>227</v>
      </c>
      <c r="U224" s="2" t="s">
        <v>177</v>
      </c>
      <c r="V224" s="34" t="b">
        <f aca="false">TRUE()</f>
        <v>1</v>
      </c>
      <c r="W224" s="2" t="s">
        <v>137</v>
      </c>
      <c r="X224" s="2" t="s">
        <v>235</v>
      </c>
      <c r="Y224" s="34" t="b">
        <f aca="false">FALSE()</f>
        <v>0</v>
      </c>
      <c r="Z224" s="2" t="s">
        <v>143</v>
      </c>
      <c r="AA224" s="2" t="s">
        <v>236</v>
      </c>
      <c r="AB224" s="34" t="b">
        <f aca="false">FALSE()</f>
        <v>0</v>
      </c>
      <c r="AC224" s="35"/>
      <c r="AD224" s="35" t="n">
        <v>999</v>
      </c>
      <c r="AE224" s="2" t="s">
        <v>257</v>
      </c>
      <c r="AF224" s="35"/>
      <c r="AG224" s="34" t="b">
        <f aca="false">FALSE()</f>
        <v>0</v>
      </c>
      <c r="AH224" s="2"/>
    </row>
    <row r="225" customFormat="false" ht="15" hidden="false" customHeight="false" outlineLevel="0" collapsed="false">
      <c r="A225" s="2" t="s">
        <v>553</v>
      </c>
      <c r="B225" s="2" t="s">
        <v>254</v>
      </c>
      <c r="C225" s="2" t="n">
        <v>86</v>
      </c>
      <c r="D225" s="2" t="s">
        <v>150</v>
      </c>
      <c r="E225" s="2" t="s">
        <v>154</v>
      </c>
      <c r="F225" s="2" t="s">
        <v>233</v>
      </c>
      <c r="G225" s="2" t="s">
        <v>115</v>
      </c>
      <c r="H225" s="2" t="s">
        <v>225</v>
      </c>
      <c r="I225" s="2" t="s">
        <v>122</v>
      </c>
      <c r="J225" s="2" t="s">
        <v>128</v>
      </c>
      <c r="K225" s="2" t="s">
        <v>226</v>
      </c>
      <c r="L225" s="33" t="n">
        <v>45267</v>
      </c>
      <c r="M225" s="33" t="n">
        <v>45271</v>
      </c>
      <c r="N225" s="2" t="n">
        <v>4</v>
      </c>
      <c r="O225" s="2" t="s">
        <v>181</v>
      </c>
      <c r="P225" s="34" t="b">
        <f aca="false">FALSE()</f>
        <v>0</v>
      </c>
      <c r="Q225" s="34" t="b">
        <f aca="false">FALSE()</f>
        <v>0</v>
      </c>
      <c r="R225" s="2" t="n">
        <v>12</v>
      </c>
      <c r="S225" s="2" t="s">
        <v>168</v>
      </c>
      <c r="T225" s="2" t="s">
        <v>241</v>
      </c>
      <c r="U225" s="2" t="s">
        <v>176</v>
      </c>
      <c r="V225" s="34" t="b">
        <f aca="false">FALSE()</f>
        <v>0</v>
      </c>
      <c r="W225" s="2" t="s">
        <v>139</v>
      </c>
      <c r="X225" s="2" t="s">
        <v>228</v>
      </c>
      <c r="Y225" s="34" t="b">
        <f aca="false">TRUE()</f>
        <v>1</v>
      </c>
      <c r="Z225" s="2" t="s">
        <v>143</v>
      </c>
      <c r="AA225" s="2" t="s">
        <v>236</v>
      </c>
      <c r="AB225" s="34" t="b">
        <f aca="false">FALSE()</f>
        <v>0</v>
      </c>
      <c r="AC225" s="35"/>
      <c r="AD225" s="35" t="n">
        <v>999</v>
      </c>
      <c r="AE225" s="2" t="s">
        <v>257</v>
      </c>
      <c r="AF225" s="35"/>
      <c r="AG225" s="34" t="b">
        <f aca="false">TRUE()</f>
        <v>1</v>
      </c>
      <c r="AH225" s="2"/>
    </row>
    <row r="226" customFormat="false" ht="15" hidden="false" customHeight="false" outlineLevel="0" collapsed="false">
      <c r="A226" s="2" t="s">
        <v>554</v>
      </c>
      <c r="B226" s="2" t="s">
        <v>555</v>
      </c>
      <c r="C226" s="2" t="n">
        <v>61</v>
      </c>
      <c r="D226" s="2" t="s">
        <v>150</v>
      </c>
      <c r="E226" s="2" t="s">
        <v>153</v>
      </c>
      <c r="F226" s="2" t="s">
        <v>224</v>
      </c>
      <c r="G226" s="2" t="s">
        <v>115</v>
      </c>
      <c r="H226" s="2" t="s">
        <v>225</v>
      </c>
      <c r="I226" s="2" t="s">
        <v>122</v>
      </c>
      <c r="J226" s="2" t="s">
        <v>130</v>
      </c>
      <c r="K226" s="2" t="s">
        <v>245</v>
      </c>
      <c r="L226" s="33" t="n">
        <v>45201</v>
      </c>
      <c r="M226" s="33" t="n">
        <v>45202</v>
      </c>
      <c r="N226" s="2" t="n">
        <v>1</v>
      </c>
      <c r="O226" s="2" t="s">
        <v>180</v>
      </c>
      <c r="P226" s="34" t="b">
        <f aca="false">FALSE()</f>
        <v>0</v>
      </c>
      <c r="Q226" s="34" t="b">
        <f aca="false">FALSE()</f>
        <v>0</v>
      </c>
      <c r="R226" s="2" t="n">
        <v>10</v>
      </c>
      <c r="S226" s="2" t="s">
        <v>166</v>
      </c>
      <c r="T226" s="2" t="s">
        <v>241</v>
      </c>
      <c r="U226" s="2" t="s">
        <v>173</v>
      </c>
      <c r="V226" s="34" t="b">
        <f aca="false">FALSE()</f>
        <v>0</v>
      </c>
      <c r="W226" s="2" t="s">
        <v>138</v>
      </c>
      <c r="X226" s="2" t="s">
        <v>250</v>
      </c>
      <c r="Y226" s="34" t="b">
        <f aca="false">FALSE()</f>
        <v>0</v>
      </c>
      <c r="Z226" s="2" t="s">
        <v>143</v>
      </c>
      <c r="AA226" s="2" t="s">
        <v>236</v>
      </c>
      <c r="AB226" s="34" t="b">
        <f aca="false">FALSE()</f>
        <v>0</v>
      </c>
      <c r="AC226" s="35" t="n">
        <v>1560</v>
      </c>
      <c r="AD226" s="35" t="n">
        <v>1560</v>
      </c>
      <c r="AE226" s="2" t="s">
        <v>242</v>
      </c>
      <c r="AF226" s="35" t="n">
        <v>1560</v>
      </c>
      <c r="AG226" s="34" t="b">
        <f aca="false">FALSE()</f>
        <v>0</v>
      </c>
      <c r="AH226" s="2"/>
    </row>
    <row r="227" customFormat="false" ht="15" hidden="false" customHeight="false" outlineLevel="0" collapsed="false">
      <c r="A227" s="2" t="s">
        <v>556</v>
      </c>
      <c r="B227" s="2" t="s">
        <v>350</v>
      </c>
      <c r="C227" s="2" t="n">
        <v>89</v>
      </c>
      <c r="D227" s="2" t="s">
        <v>150</v>
      </c>
      <c r="E227" s="2" t="s">
        <v>154</v>
      </c>
      <c r="F227" s="2" t="s">
        <v>233</v>
      </c>
      <c r="G227" s="2" t="s">
        <v>115</v>
      </c>
      <c r="H227" s="2" t="s">
        <v>225</v>
      </c>
      <c r="I227" s="2" t="s">
        <v>122</v>
      </c>
      <c r="J227" s="2" t="s">
        <v>130</v>
      </c>
      <c r="K227" s="2" t="s">
        <v>245</v>
      </c>
      <c r="L227" s="33" t="n">
        <v>45024</v>
      </c>
      <c r="M227" s="33" t="n">
        <v>45027</v>
      </c>
      <c r="N227" s="2" t="n">
        <v>3</v>
      </c>
      <c r="O227" s="2" t="s">
        <v>180</v>
      </c>
      <c r="P227" s="34" t="b">
        <f aca="false">FALSE()</f>
        <v>0</v>
      </c>
      <c r="Q227" s="34" t="b">
        <f aca="false">FALSE()</f>
        <v>0</v>
      </c>
      <c r="R227" s="2" t="n">
        <v>4</v>
      </c>
      <c r="S227" s="2" t="s">
        <v>160</v>
      </c>
      <c r="T227" s="2" t="s">
        <v>246</v>
      </c>
      <c r="U227" s="2" t="s">
        <v>171</v>
      </c>
      <c r="V227" s="34" t="b">
        <f aca="false">TRUE()</f>
        <v>1</v>
      </c>
      <c r="W227" s="2" t="s">
        <v>137</v>
      </c>
      <c r="X227" s="2" t="s">
        <v>235</v>
      </c>
      <c r="Y227" s="34" t="b">
        <f aca="false">FALSE()</f>
        <v>0</v>
      </c>
      <c r="Z227" s="2" t="s">
        <v>143</v>
      </c>
      <c r="AA227" s="2" t="s">
        <v>236</v>
      </c>
      <c r="AB227" s="34" t="b">
        <f aca="false">FALSE()</f>
        <v>0</v>
      </c>
      <c r="AC227" s="35" t="n">
        <v>4562</v>
      </c>
      <c r="AD227" s="35" t="n">
        <v>4562</v>
      </c>
      <c r="AE227" s="2" t="s">
        <v>242</v>
      </c>
      <c r="AF227" s="35" t="n">
        <v>1520.67</v>
      </c>
      <c r="AG227" s="34" t="b">
        <f aca="false">FALSE()</f>
        <v>0</v>
      </c>
      <c r="AH227" s="2"/>
    </row>
    <row r="228" customFormat="false" ht="15" hidden="false" customHeight="false" outlineLevel="0" collapsed="false">
      <c r="A228" s="2" t="s">
        <v>557</v>
      </c>
      <c r="B228" s="2" t="s">
        <v>321</v>
      </c>
      <c r="C228" s="2" t="n">
        <v>11</v>
      </c>
      <c r="D228" s="2" t="s">
        <v>147</v>
      </c>
      <c r="E228" s="2" t="s">
        <v>154</v>
      </c>
      <c r="F228" s="2" t="s">
        <v>233</v>
      </c>
      <c r="G228" s="2" t="s">
        <v>115</v>
      </c>
      <c r="H228" s="2" t="s">
        <v>225</v>
      </c>
      <c r="I228" s="2" t="s">
        <v>122</v>
      </c>
      <c r="J228" s="2" t="s">
        <v>132</v>
      </c>
      <c r="K228" s="2" t="s">
        <v>249</v>
      </c>
      <c r="L228" s="33" t="n">
        <v>45034</v>
      </c>
      <c r="M228" s="33" t="n">
        <v>45038</v>
      </c>
      <c r="N228" s="2" t="n">
        <v>4</v>
      </c>
      <c r="O228" s="2" t="s">
        <v>181</v>
      </c>
      <c r="P228" s="34" t="b">
        <f aca="false">FALSE()</f>
        <v>0</v>
      </c>
      <c r="Q228" s="34" t="b">
        <f aca="false">FALSE()</f>
        <v>0</v>
      </c>
      <c r="R228" s="2" t="n">
        <v>4</v>
      </c>
      <c r="S228" s="2" t="s">
        <v>160</v>
      </c>
      <c r="T228" s="2" t="s">
        <v>246</v>
      </c>
      <c r="U228" s="2" t="s">
        <v>174</v>
      </c>
      <c r="V228" s="34" t="b">
        <f aca="false">FALSE()</f>
        <v>0</v>
      </c>
      <c r="W228" s="2" t="s">
        <v>138</v>
      </c>
      <c r="X228" s="2" t="s">
        <v>250</v>
      </c>
      <c r="Y228" s="34" t="b">
        <f aca="false">FALSE()</f>
        <v>0</v>
      </c>
      <c r="Z228" s="2" t="s">
        <v>142</v>
      </c>
      <c r="AA228" s="2" t="s">
        <v>256</v>
      </c>
      <c r="AB228" s="34" t="b">
        <f aca="false">FALSE()</f>
        <v>0</v>
      </c>
      <c r="AC228" s="35"/>
      <c r="AD228" s="35" t="n">
        <v>3852</v>
      </c>
      <c r="AE228" s="2" t="s">
        <v>230</v>
      </c>
      <c r="AF228" s="35"/>
      <c r="AG228" s="34" t="b">
        <f aca="false">FALSE()</f>
        <v>0</v>
      </c>
      <c r="AH228" s="2"/>
    </row>
    <row r="229" customFormat="false" ht="15" hidden="false" customHeight="false" outlineLevel="0" collapsed="false">
      <c r="A229" s="2" t="s">
        <v>558</v>
      </c>
      <c r="B229" s="2" t="s">
        <v>223</v>
      </c>
      <c r="C229" s="2" t="n">
        <v>5</v>
      </c>
      <c r="D229" s="2" t="s">
        <v>147</v>
      </c>
      <c r="E229" s="2" t="s">
        <v>154</v>
      </c>
      <c r="F229" s="2" t="s">
        <v>233</v>
      </c>
      <c r="G229" s="2" t="s">
        <v>115</v>
      </c>
      <c r="H229" s="2" t="s">
        <v>225</v>
      </c>
      <c r="I229" s="2" t="s">
        <v>122</v>
      </c>
      <c r="J229" s="2" t="s">
        <v>132</v>
      </c>
      <c r="K229" s="2" t="s">
        <v>249</v>
      </c>
      <c r="L229" s="33" t="n">
        <v>44952</v>
      </c>
      <c r="M229" s="33" t="n">
        <v>44957</v>
      </c>
      <c r="N229" s="2" t="n">
        <v>5</v>
      </c>
      <c r="O229" s="2" t="s">
        <v>181</v>
      </c>
      <c r="P229" s="34" t="b">
        <f aca="false">FALSE()</f>
        <v>0</v>
      </c>
      <c r="Q229" s="34" t="b">
        <f aca="false">FALSE()</f>
        <v>0</v>
      </c>
      <c r="R229" s="2" t="n">
        <v>1</v>
      </c>
      <c r="S229" s="2" t="s">
        <v>157</v>
      </c>
      <c r="T229" s="2" t="s">
        <v>234</v>
      </c>
      <c r="U229" s="2" t="s">
        <v>176</v>
      </c>
      <c r="V229" s="34" t="b">
        <f aca="false">FALSE()</f>
        <v>0</v>
      </c>
      <c r="W229" s="2" t="s">
        <v>138</v>
      </c>
      <c r="X229" s="2" t="s">
        <v>250</v>
      </c>
      <c r="Y229" s="34" t="b">
        <f aca="false">FALSE()</f>
        <v>0</v>
      </c>
      <c r="Z229" s="2" t="s">
        <v>142</v>
      </c>
      <c r="AA229" s="2" t="s">
        <v>256</v>
      </c>
      <c r="AB229" s="34" t="b">
        <f aca="false">FALSE()</f>
        <v>0</v>
      </c>
      <c r="AC229" s="35"/>
      <c r="AD229" s="35" t="n">
        <v>3852</v>
      </c>
      <c r="AE229" s="2" t="s">
        <v>230</v>
      </c>
      <c r="AF229" s="35"/>
      <c r="AG229" s="34" t="b">
        <f aca="false">FALSE()</f>
        <v>0</v>
      </c>
      <c r="AH229" s="2"/>
    </row>
    <row r="230" customFormat="false" ht="15" hidden="false" customHeight="false" outlineLevel="0" collapsed="false">
      <c r="A230" s="2" t="s">
        <v>559</v>
      </c>
      <c r="B230" s="2" t="s">
        <v>259</v>
      </c>
      <c r="C230" s="2" t="n">
        <v>68</v>
      </c>
      <c r="D230" s="2" t="s">
        <v>150</v>
      </c>
      <c r="E230" s="2" t="s">
        <v>153</v>
      </c>
      <c r="F230" s="2" t="s">
        <v>224</v>
      </c>
      <c r="G230" s="2" t="s">
        <v>115</v>
      </c>
      <c r="H230" s="2" t="s">
        <v>225</v>
      </c>
      <c r="I230" s="2" t="s">
        <v>122</v>
      </c>
      <c r="J230" s="2" t="s">
        <v>128</v>
      </c>
      <c r="K230" s="2" t="s">
        <v>226</v>
      </c>
      <c r="L230" s="33" t="n">
        <v>45177</v>
      </c>
      <c r="M230" s="33" t="n">
        <v>45197</v>
      </c>
      <c r="N230" s="2" t="n">
        <v>20</v>
      </c>
      <c r="O230" s="2" t="s">
        <v>183</v>
      </c>
      <c r="P230" s="34" t="b">
        <f aca="false">TRUE()</f>
        <v>1</v>
      </c>
      <c r="Q230" s="34" t="b">
        <f aca="false">TRUE()</f>
        <v>1</v>
      </c>
      <c r="R230" s="2" t="n">
        <v>9</v>
      </c>
      <c r="S230" s="2" t="s">
        <v>165</v>
      </c>
      <c r="T230" s="2" t="s">
        <v>227</v>
      </c>
      <c r="U230" s="2" t="s">
        <v>177</v>
      </c>
      <c r="V230" s="34" t="b">
        <f aca="false">TRUE()</f>
        <v>1</v>
      </c>
      <c r="W230" s="2" t="s">
        <v>139</v>
      </c>
      <c r="X230" s="2" t="s">
        <v>228</v>
      </c>
      <c r="Y230" s="34" t="b">
        <f aca="false">TRUE()</f>
        <v>1</v>
      </c>
      <c r="Z230" s="2" t="s">
        <v>143</v>
      </c>
      <c r="AA230" s="2" t="s">
        <v>236</v>
      </c>
      <c r="AB230" s="34" t="b">
        <f aca="false">FALSE()</f>
        <v>0</v>
      </c>
      <c r="AC230" s="35"/>
      <c r="AD230" s="35" t="n">
        <v>999</v>
      </c>
      <c r="AE230" s="2" t="s">
        <v>257</v>
      </c>
      <c r="AF230" s="35"/>
      <c r="AG230" s="34" t="b">
        <f aca="false">FALSE()</f>
        <v>0</v>
      </c>
      <c r="AH230" s="2"/>
    </row>
    <row r="231" customFormat="false" ht="15" hidden="false" customHeight="false" outlineLevel="0" collapsed="false">
      <c r="A231" s="2" t="s">
        <v>560</v>
      </c>
      <c r="B231" s="2" t="s">
        <v>384</v>
      </c>
      <c r="C231" s="2" t="n">
        <v>17</v>
      </c>
      <c r="D231" s="2" t="s">
        <v>147</v>
      </c>
      <c r="E231" s="2" t="s">
        <v>154</v>
      </c>
      <c r="F231" s="2" t="s">
        <v>233</v>
      </c>
      <c r="G231" s="2" t="s">
        <v>115</v>
      </c>
      <c r="H231" s="2" t="s">
        <v>225</v>
      </c>
      <c r="I231" s="2" t="s">
        <v>122</v>
      </c>
      <c r="J231" s="2" t="s">
        <v>133</v>
      </c>
      <c r="K231" s="2" t="s">
        <v>255</v>
      </c>
      <c r="L231" s="33" t="n">
        <v>45101</v>
      </c>
      <c r="M231" s="33" t="n">
        <v>45104</v>
      </c>
      <c r="N231" s="2" t="n">
        <v>3</v>
      </c>
      <c r="O231" s="2" t="s">
        <v>180</v>
      </c>
      <c r="P231" s="34" t="b">
        <f aca="false">FALSE()</f>
        <v>0</v>
      </c>
      <c r="Q231" s="34" t="b">
        <f aca="false">FALSE()</f>
        <v>0</v>
      </c>
      <c r="R231" s="2" t="n">
        <v>6</v>
      </c>
      <c r="S231" s="2" t="s">
        <v>162</v>
      </c>
      <c r="T231" s="2" t="s">
        <v>246</v>
      </c>
      <c r="U231" s="2" t="s">
        <v>171</v>
      </c>
      <c r="V231" s="34" t="b">
        <f aca="false">TRUE()</f>
        <v>1</v>
      </c>
      <c r="W231" s="2" t="s">
        <v>138</v>
      </c>
      <c r="X231" s="2" t="s">
        <v>250</v>
      </c>
      <c r="Y231" s="34" t="b">
        <f aca="false">FALSE()</f>
        <v>0</v>
      </c>
      <c r="Z231" s="2" t="s">
        <v>144</v>
      </c>
      <c r="AA231" s="2" t="s">
        <v>229</v>
      </c>
      <c r="AB231" s="34" t="b">
        <f aca="false">TRUE()</f>
        <v>1</v>
      </c>
      <c r="AC231" s="35"/>
      <c r="AD231" s="35" t="n">
        <v>999</v>
      </c>
      <c r="AE231" s="2" t="s">
        <v>257</v>
      </c>
      <c r="AF231" s="35"/>
      <c r="AG231" s="34" t="b">
        <f aca="false">FALSE()</f>
        <v>0</v>
      </c>
      <c r="AH231" s="2"/>
    </row>
    <row r="232" customFormat="false" ht="15" hidden="false" customHeight="false" outlineLevel="0" collapsed="false">
      <c r="A232" s="2" t="s">
        <v>561</v>
      </c>
      <c r="B232" s="2" t="s">
        <v>325</v>
      </c>
      <c r="C232" s="2" t="n">
        <v>89</v>
      </c>
      <c r="D232" s="2" t="s">
        <v>150</v>
      </c>
      <c r="E232" s="2" t="s">
        <v>154</v>
      </c>
      <c r="F232" s="2" t="s">
        <v>233</v>
      </c>
      <c r="G232" s="2" t="s">
        <v>115</v>
      </c>
      <c r="H232" s="2" t="s">
        <v>225</v>
      </c>
      <c r="I232" s="2" t="s">
        <v>122</v>
      </c>
      <c r="J232" s="2" t="s">
        <v>131</v>
      </c>
      <c r="K232" s="2" t="s">
        <v>263</v>
      </c>
      <c r="L232" s="33" t="n">
        <v>45021</v>
      </c>
      <c r="M232" s="33" t="n">
        <v>45033</v>
      </c>
      <c r="N232" s="2" t="n">
        <v>12</v>
      </c>
      <c r="O232" s="2" t="s">
        <v>182</v>
      </c>
      <c r="P232" s="34" t="b">
        <f aca="false">TRUE()</f>
        <v>1</v>
      </c>
      <c r="Q232" s="34" t="b">
        <f aca="false">FALSE()</f>
        <v>0</v>
      </c>
      <c r="R232" s="2" t="n">
        <v>4</v>
      </c>
      <c r="S232" s="2" t="s">
        <v>160</v>
      </c>
      <c r="T232" s="2" t="s">
        <v>246</v>
      </c>
      <c r="U232" s="2" t="s">
        <v>175</v>
      </c>
      <c r="V232" s="34" t="b">
        <f aca="false">FALSE()</f>
        <v>0</v>
      </c>
      <c r="W232" s="2" t="s">
        <v>139</v>
      </c>
      <c r="X232" s="2" t="s">
        <v>228</v>
      </c>
      <c r="Y232" s="34" t="b">
        <f aca="false">TRUE()</f>
        <v>1</v>
      </c>
      <c r="Z232" s="2" t="s">
        <v>144</v>
      </c>
      <c r="AA232" s="2" t="s">
        <v>229</v>
      </c>
      <c r="AB232" s="34" t="b">
        <f aca="false">TRUE()</f>
        <v>1</v>
      </c>
      <c r="AC232" s="35"/>
      <c r="AD232" s="35" t="n">
        <v>999</v>
      </c>
      <c r="AE232" s="2" t="s">
        <v>257</v>
      </c>
      <c r="AF232" s="35"/>
      <c r="AG232" s="34" t="b">
        <f aca="false">FALSE()</f>
        <v>0</v>
      </c>
      <c r="AH232" s="2"/>
    </row>
    <row r="233" customFormat="false" ht="15" hidden="false" customHeight="false" outlineLevel="0" collapsed="false">
      <c r="A233" s="2" t="s">
        <v>562</v>
      </c>
      <c r="B233" s="2" t="s">
        <v>280</v>
      </c>
      <c r="C233" s="2" t="n">
        <v>82</v>
      </c>
      <c r="D233" s="2" t="s">
        <v>150</v>
      </c>
      <c r="E233" s="2" t="s">
        <v>153</v>
      </c>
      <c r="F233" s="2" t="s">
        <v>224</v>
      </c>
      <c r="G233" s="2" t="s">
        <v>115</v>
      </c>
      <c r="H233" s="2" t="s">
        <v>225</v>
      </c>
      <c r="I233" s="2" t="s">
        <v>122</v>
      </c>
      <c r="J233" s="2" t="s">
        <v>130</v>
      </c>
      <c r="K233" s="2" t="s">
        <v>245</v>
      </c>
      <c r="L233" s="33" t="n">
        <v>45174</v>
      </c>
      <c r="M233" s="33" t="n">
        <v>45178</v>
      </c>
      <c r="N233" s="2" t="n">
        <v>4</v>
      </c>
      <c r="O233" s="2" t="s">
        <v>181</v>
      </c>
      <c r="P233" s="34" t="b">
        <f aca="false">FALSE()</f>
        <v>0</v>
      </c>
      <c r="Q233" s="34" t="b">
        <f aca="false">FALSE()</f>
        <v>0</v>
      </c>
      <c r="R233" s="2" t="n">
        <v>9</v>
      </c>
      <c r="S233" s="2" t="s">
        <v>165</v>
      </c>
      <c r="T233" s="2" t="s">
        <v>227</v>
      </c>
      <c r="U233" s="2" t="s">
        <v>174</v>
      </c>
      <c r="V233" s="34" t="b">
        <f aca="false">FALSE()</f>
        <v>0</v>
      </c>
      <c r="W233" s="2" t="s">
        <v>137</v>
      </c>
      <c r="X233" s="2" t="s">
        <v>235</v>
      </c>
      <c r="Y233" s="34" t="b">
        <f aca="false">FALSE()</f>
        <v>0</v>
      </c>
      <c r="Z233" s="2" t="s">
        <v>144</v>
      </c>
      <c r="AA233" s="2" t="s">
        <v>229</v>
      </c>
      <c r="AB233" s="34" t="b">
        <f aca="false">TRUE()</f>
        <v>1</v>
      </c>
      <c r="AC233" s="35"/>
      <c r="AD233" s="35" t="n">
        <v>999</v>
      </c>
      <c r="AE233" s="2" t="s">
        <v>257</v>
      </c>
      <c r="AF233" s="35"/>
      <c r="AG233" s="34" t="b">
        <f aca="false">TRUE()</f>
        <v>1</v>
      </c>
      <c r="AH233" s="2"/>
    </row>
    <row r="234" customFormat="false" ht="15" hidden="false" customHeight="false" outlineLevel="0" collapsed="false">
      <c r="A234" s="2" t="s">
        <v>563</v>
      </c>
      <c r="B234" s="2" t="s">
        <v>315</v>
      </c>
      <c r="C234" s="2" t="n">
        <v>14</v>
      </c>
      <c r="D234" s="2" t="s">
        <v>147</v>
      </c>
      <c r="E234" s="2" t="s">
        <v>154</v>
      </c>
      <c r="F234" s="2" t="s">
        <v>233</v>
      </c>
      <c r="G234" s="2" t="s">
        <v>115</v>
      </c>
      <c r="H234" s="2" t="s">
        <v>225</v>
      </c>
      <c r="I234" s="2" t="s">
        <v>122</v>
      </c>
      <c r="J234" s="2" t="s">
        <v>134</v>
      </c>
      <c r="K234" s="2" t="s">
        <v>240</v>
      </c>
      <c r="L234" s="33" t="n">
        <v>45241</v>
      </c>
      <c r="M234" s="33" t="n">
        <v>45250</v>
      </c>
      <c r="N234" s="2" t="n">
        <v>9</v>
      </c>
      <c r="O234" s="2" t="s">
        <v>182</v>
      </c>
      <c r="P234" s="34" t="b">
        <f aca="false">TRUE()</f>
        <v>1</v>
      </c>
      <c r="Q234" s="34" t="b">
        <f aca="false">FALSE()</f>
        <v>0</v>
      </c>
      <c r="R234" s="2" t="n">
        <v>11</v>
      </c>
      <c r="S234" s="2" t="s">
        <v>167</v>
      </c>
      <c r="T234" s="2" t="s">
        <v>241</v>
      </c>
      <c r="U234" s="2" t="s">
        <v>171</v>
      </c>
      <c r="V234" s="34" t="b">
        <f aca="false">TRUE()</f>
        <v>1</v>
      </c>
      <c r="W234" s="2" t="s">
        <v>139</v>
      </c>
      <c r="X234" s="2" t="s">
        <v>228</v>
      </c>
      <c r="Y234" s="34" t="b">
        <f aca="false">TRUE()</f>
        <v>1</v>
      </c>
      <c r="Z234" s="2" t="s">
        <v>143</v>
      </c>
      <c r="AA234" s="2" t="s">
        <v>236</v>
      </c>
      <c r="AB234" s="34" t="b">
        <f aca="false">FALSE()</f>
        <v>0</v>
      </c>
      <c r="AC234" s="35"/>
      <c r="AD234" s="35" t="n">
        <v>999</v>
      </c>
      <c r="AE234" s="2" t="s">
        <v>257</v>
      </c>
      <c r="AF234" s="35"/>
      <c r="AG234" s="34" t="b">
        <f aca="false">FALSE()</f>
        <v>0</v>
      </c>
      <c r="AH234" s="2"/>
    </row>
    <row r="235" customFormat="false" ht="15" hidden="false" customHeight="false" outlineLevel="0" collapsed="false">
      <c r="A235" s="2" t="s">
        <v>564</v>
      </c>
      <c r="B235" s="2" t="s">
        <v>293</v>
      </c>
      <c r="C235" s="2" t="n">
        <v>61</v>
      </c>
      <c r="D235" s="2" t="s">
        <v>150</v>
      </c>
      <c r="E235" s="2" t="s">
        <v>153</v>
      </c>
      <c r="F235" s="2" t="s">
        <v>224</v>
      </c>
      <c r="G235" s="2" t="s">
        <v>115</v>
      </c>
      <c r="H235" s="2" t="s">
        <v>225</v>
      </c>
      <c r="I235" s="2" t="s">
        <v>122</v>
      </c>
      <c r="J235" s="2" t="s">
        <v>128</v>
      </c>
      <c r="K235" s="2" t="s">
        <v>226</v>
      </c>
      <c r="L235" s="33" t="n">
        <v>45265</v>
      </c>
      <c r="M235" s="33" t="n">
        <v>45267</v>
      </c>
      <c r="N235" s="2" t="n">
        <v>2</v>
      </c>
      <c r="O235" s="2" t="s">
        <v>180</v>
      </c>
      <c r="P235" s="34" t="b">
        <f aca="false">FALSE()</f>
        <v>0</v>
      </c>
      <c r="Q235" s="34" t="b">
        <f aca="false">FALSE()</f>
        <v>0</v>
      </c>
      <c r="R235" s="2" t="n">
        <v>12</v>
      </c>
      <c r="S235" s="2" t="s">
        <v>168</v>
      </c>
      <c r="T235" s="2" t="s">
        <v>241</v>
      </c>
      <c r="U235" s="2" t="s">
        <v>174</v>
      </c>
      <c r="V235" s="34" t="b">
        <f aca="false">FALSE()</f>
        <v>0</v>
      </c>
      <c r="W235" s="2" t="s">
        <v>139</v>
      </c>
      <c r="X235" s="2" t="s">
        <v>228</v>
      </c>
      <c r="Y235" s="34" t="b">
        <f aca="false">TRUE()</f>
        <v>1</v>
      </c>
      <c r="Z235" s="2" t="s">
        <v>143</v>
      </c>
      <c r="AA235" s="2" t="s">
        <v>236</v>
      </c>
      <c r="AB235" s="34" t="b">
        <f aca="false">FALSE()</f>
        <v>0</v>
      </c>
      <c r="AC235" s="35"/>
      <c r="AD235" s="35" t="n">
        <v>3852</v>
      </c>
      <c r="AE235" s="2" t="s">
        <v>230</v>
      </c>
      <c r="AF235" s="35"/>
      <c r="AG235" s="34" t="b">
        <f aca="false">FALSE()</f>
        <v>0</v>
      </c>
      <c r="AH235" s="2"/>
    </row>
    <row r="236" customFormat="false" ht="15" hidden="false" customHeight="false" outlineLevel="0" collapsed="false">
      <c r="A236" s="2" t="s">
        <v>565</v>
      </c>
      <c r="B236" s="2" t="s">
        <v>555</v>
      </c>
      <c r="C236" s="2" t="n">
        <v>48</v>
      </c>
      <c r="D236" s="2" t="s">
        <v>149</v>
      </c>
      <c r="E236" s="2" t="s">
        <v>153</v>
      </c>
      <c r="F236" s="2" t="s">
        <v>224</v>
      </c>
      <c r="G236" s="2" t="s">
        <v>113</v>
      </c>
      <c r="H236" s="2" t="s">
        <v>477</v>
      </c>
      <c r="I236" s="2" t="s">
        <v>122</v>
      </c>
      <c r="J236" s="2" t="s">
        <v>129</v>
      </c>
      <c r="K236" s="2" t="s">
        <v>260</v>
      </c>
      <c r="L236" s="33" t="n">
        <v>45244</v>
      </c>
      <c r="M236" s="33" t="n">
        <v>45248</v>
      </c>
      <c r="N236" s="2" t="n">
        <v>4</v>
      </c>
      <c r="O236" s="2" t="s">
        <v>181</v>
      </c>
      <c r="P236" s="34" t="b">
        <f aca="false">FALSE()</f>
        <v>0</v>
      </c>
      <c r="Q236" s="34" t="b">
        <f aca="false">FALSE()</f>
        <v>0</v>
      </c>
      <c r="R236" s="2" t="n">
        <v>11</v>
      </c>
      <c r="S236" s="2" t="s">
        <v>167</v>
      </c>
      <c r="T236" s="2" t="s">
        <v>241</v>
      </c>
      <c r="U236" s="2" t="s">
        <v>174</v>
      </c>
      <c r="V236" s="34" t="b">
        <f aca="false">FALSE()</f>
        <v>0</v>
      </c>
      <c r="W236" s="2" t="s">
        <v>137</v>
      </c>
      <c r="X236" s="2" t="s">
        <v>235</v>
      </c>
      <c r="Y236" s="34" t="b">
        <f aca="false">FALSE()</f>
        <v>0</v>
      </c>
      <c r="Z236" s="2" t="s">
        <v>143</v>
      </c>
      <c r="AA236" s="2" t="s">
        <v>236</v>
      </c>
      <c r="AB236" s="34" t="b">
        <f aca="false">FALSE()</f>
        <v>0</v>
      </c>
      <c r="AC236" s="35"/>
      <c r="AD236" s="35" t="n">
        <v>3852</v>
      </c>
      <c r="AE236" s="2" t="s">
        <v>230</v>
      </c>
      <c r="AF236" s="35"/>
      <c r="AG236" s="34" t="b">
        <f aca="false">FALSE()</f>
        <v>0</v>
      </c>
      <c r="AH236" s="2"/>
    </row>
    <row r="237" customFormat="false" ht="15" hidden="false" customHeight="false" outlineLevel="0" collapsed="false">
      <c r="A237" s="2" t="s">
        <v>566</v>
      </c>
      <c r="B237" s="2" t="s">
        <v>447</v>
      </c>
      <c r="C237" s="2" t="n">
        <v>41</v>
      </c>
      <c r="D237" s="2" t="s">
        <v>149</v>
      </c>
      <c r="E237" s="2" t="s">
        <v>154</v>
      </c>
      <c r="F237" s="2" t="s">
        <v>233</v>
      </c>
      <c r="G237" s="2" t="s">
        <v>113</v>
      </c>
      <c r="H237" s="2" t="s">
        <v>477</v>
      </c>
      <c r="I237" s="2" t="s">
        <v>122</v>
      </c>
      <c r="J237" s="2" t="s">
        <v>131</v>
      </c>
      <c r="K237" s="2" t="s">
        <v>263</v>
      </c>
      <c r="L237" s="33" t="n">
        <v>45190</v>
      </c>
      <c r="M237" s="33" t="n">
        <v>45194</v>
      </c>
      <c r="N237" s="2" t="n">
        <v>4</v>
      </c>
      <c r="O237" s="2" t="s">
        <v>181</v>
      </c>
      <c r="P237" s="34" t="b">
        <f aca="false">FALSE()</f>
        <v>0</v>
      </c>
      <c r="Q237" s="34" t="b">
        <f aca="false">FALSE()</f>
        <v>0</v>
      </c>
      <c r="R237" s="2" t="n">
        <v>9</v>
      </c>
      <c r="S237" s="2" t="s">
        <v>165</v>
      </c>
      <c r="T237" s="2" t="s">
        <v>227</v>
      </c>
      <c r="U237" s="2" t="s">
        <v>176</v>
      </c>
      <c r="V237" s="34" t="b">
        <f aca="false">FALSE()</f>
        <v>0</v>
      </c>
      <c r="W237" s="2" t="s">
        <v>139</v>
      </c>
      <c r="X237" s="2" t="s">
        <v>228</v>
      </c>
      <c r="Y237" s="34" t="b">
        <f aca="false">TRUE()</f>
        <v>1</v>
      </c>
      <c r="Z237" s="2" t="s">
        <v>143</v>
      </c>
      <c r="AA237" s="2" t="s">
        <v>236</v>
      </c>
      <c r="AB237" s="34" t="b">
        <f aca="false">FALSE()</f>
        <v>0</v>
      </c>
      <c r="AC237" s="35"/>
      <c r="AD237" s="35" t="n">
        <v>3852</v>
      </c>
      <c r="AE237" s="2" t="s">
        <v>230</v>
      </c>
      <c r="AF237" s="35"/>
      <c r="AG237" s="34" t="b">
        <f aca="false">FALSE()</f>
        <v>0</v>
      </c>
      <c r="AH237" s="2"/>
    </row>
    <row r="238" customFormat="false" ht="15" hidden="false" customHeight="false" outlineLevel="0" collapsed="false">
      <c r="A238" s="2" t="s">
        <v>567</v>
      </c>
      <c r="B238" s="2" t="s">
        <v>460</v>
      </c>
      <c r="C238" s="2" t="n">
        <v>82</v>
      </c>
      <c r="D238" s="2" t="s">
        <v>150</v>
      </c>
      <c r="E238" s="2" t="s">
        <v>153</v>
      </c>
      <c r="F238" s="2" t="s">
        <v>224</v>
      </c>
      <c r="G238" s="2" t="s">
        <v>113</v>
      </c>
      <c r="H238" s="2" t="s">
        <v>477</v>
      </c>
      <c r="I238" s="2" t="s">
        <v>122</v>
      </c>
      <c r="J238" s="2" t="s">
        <v>128</v>
      </c>
      <c r="K238" s="2" t="s">
        <v>226</v>
      </c>
      <c r="L238" s="33" t="n">
        <v>44963</v>
      </c>
      <c r="M238" s="33" t="n">
        <v>44965</v>
      </c>
      <c r="N238" s="2" t="n">
        <v>2</v>
      </c>
      <c r="O238" s="2" t="s">
        <v>180</v>
      </c>
      <c r="P238" s="34" t="b">
        <f aca="false">FALSE()</f>
        <v>0</v>
      </c>
      <c r="Q238" s="34" t="b">
        <f aca="false">FALSE()</f>
        <v>0</v>
      </c>
      <c r="R238" s="2" t="n">
        <v>2</v>
      </c>
      <c r="S238" s="2" t="s">
        <v>158</v>
      </c>
      <c r="T238" s="2" t="s">
        <v>234</v>
      </c>
      <c r="U238" s="2" t="s">
        <v>173</v>
      </c>
      <c r="V238" s="34" t="b">
        <f aca="false">FALSE()</f>
        <v>0</v>
      </c>
      <c r="W238" s="2" t="s">
        <v>138</v>
      </c>
      <c r="X238" s="2" t="s">
        <v>250</v>
      </c>
      <c r="Y238" s="34" t="b">
        <f aca="false">FALSE()</f>
        <v>0</v>
      </c>
      <c r="Z238" s="2" t="s">
        <v>144</v>
      </c>
      <c r="AA238" s="2" t="s">
        <v>229</v>
      </c>
      <c r="AB238" s="34" t="b">
        <f aca="false">TRUE()</f>
        <v>1</v>
      </c>
      <c r="AC238" s="35"/>
      <c r="AD238" s="35" t="n">
        <v>999</v>
      </c>
      <c r="AE238" s="2" t="s">
        <v>257</v>
      </c>
      <c r="AF238" s="35"/>
      <c r="AG238" s="34" t="b">
        <f aca="false">FALSE()</f>
        <v>0</v>
      </c>
      <c r="AH238" s="2"/>
    </row>
    <row r="239" customFormat="false" ht="15" hidden="false" customHeight="false" outlineLevel="0" collapsed="false">
      <c r="A239" s="2" t="s">
        <v>568</v>
      </c>
      <c r="B239" s="2" t="s">
        <v>447</v>
      </c>
      <c r="C239" s="2" t="n">
        <v>11</v>
      </c>
      <c r="D239" s="2" t="s">
        <v>147</v>
      </c>
      <c r="E239" s="2" t="s">
        <v>154</v>
      </c>
      <c r="F239" s="2" t="s">
        <v>233</v>
      </c>
      <c r="G239" s="2" t="s">
        <v>113</v>
      </c>
      <c r="H239" s="2" t="s">
        <v>477</v>
      </c>
      <c r="I239" s="2" t="s">
        <v>122</v>
      </c>
      <c r="J239" s="2" t="s">
        <v>130</v>
      </c>
      <c r="K239" s="2" t="s">
        <v>245</v>
      </c>
      <c r="L239" s="33" t="n">
        <v>45257</v>
      </c>
      <c r="M239" s="33" t="n">
        <v>45262</v>
      </c>
      <c r="N239" s="2" t="n">
        <v>5</v>
      </c>
      <c r="O239" s="2" t="s">
        <v>181</v>
      </c>
      <c r="P239" s="34" t="b">
        <f aca="false">FALSE()</f>
        <v>0</v>
      </c>
      <c r="Q239" s="34" t="b">
        <f aca="false">FALSE()</f>
        <v>0</v>
      </c>
      <c r="R239" s="2" t="n">
        <v>11</v>
      </c>
      <c r="S239" s="2" t="s">
        <v>167</v>
      </c>
      <c r="T239" s="2" t="s">
        <v>241</v>
      </c>
      <c r="U239" s="2" t="s">
        <v>173</v>
      </c>
      <c r="V239" s="34" t="b">
        <f aca="false">FALSE()</f>
        <v>0</v>
      </c>
      <c r="W239" s="2" t="s">
        <v>137</v>
      </c>
      <c r="X239" s="2" t="s">
        <v>235</v>
      </c>
      <c r="Y239" s="34" t="b">
        <f aca="false">FALSE()</f>
        <v>0</v>
      </c>
      <c r="Z239" s="2" t="s">
        <v>143</v>
      </c>
      <c r="AA239" s="2" t="s">
        <v>236</v>
      </c>
      <c r="AB239" s="34" t="b">
        <f aca="false">FALSE()</f>
        <v>0</v>
      </c>
      <c r="AC239" s="35" t="n">
        <v>3847</v>
      </c>
      <c r="AD239" s="35" t="n">
        <v>3847</v>
      </c>
      <c r="AE239" s="2" t="s">
        <v>242</v>
      </c>
      <c r="AF239" s="35" t="n">
        <v>769.4</v>
      </c>
      <c r="AG239" s="34" t="b">
        <f aca="false">FALSE()</f>
        <v>0</v>
      </c>
      <c r="AH239" s="2"/>
    </row>
    <row r="240" customFormat="false" ht="15" hidden="false" customHeight="false" outlineLevel="0" collapsed="false">
      <c r="A240" s="2" t="s">
        <v>569</v>
      </c>
      <c r="B240" s="2" t="s">
        <v>555</v>
      </c>
      <c r="C240" s="2" t="n">
        <v>45</v>
      </c>
      <c r="D240" s="2" t="s">
        <v>149</v>
      </c>
      <c r="E240" s="2" t="s">
        <v>153</v>
      </c>
      <c r="F240" s="2" t="s">
        <v>224</v>
      </c>
      <c r="G240" s="2" t="s">
        <v>113</v>
      </c>
      <c r="H240" s="2" t="s">
        <v>477</v>
      </c>
      <c r="I240" s="2" t="s">
        <v>122</v>
      </c>
      <c r="J240" s="2" t="s">
        <v>128</v>
      </c>
      <c r="K240" s="2" t="s">
        <v>226</v>
      </c>
      <c r="L240" s="33" t="n">
        <v>45195</v>
      </c>
      <c r="M240" s="33" t="n">
        <v>45201</v>
      </c>
      <c r="N240" s="2" t="n">
        <v>6</v>
      </c>
      <c r="O240" s="2" t="s">
        <v>181</v>
      </c>
      <c r="P240" s="34" t="b">
        <f aca="false">FALSE()</f>
        <v>0</v>
      </c>
      <c r="Q240" s="34" t="b">
        <f aca="false">FALSE()</f>
        <v>0</v>
      </c>
      <c r="R240" s="2" t="n">
        <v>9</v>
      </c>
      <c r="S240" s="2" t="s">
        <v>165</v>
      </c>
      <c r="T240" s="2" t="s">
        <v>227</v>
      </c>
      <c r="U240" s="2" t="s">
        <v>174</v>
      </c>
      <c r="V240" s="34" t="b">
        <f aca="false">FALSE()</f>
        <v>0</v>
      </c>
      <c r="W240" s="2" t="s">
        <v>137</v>
      </c>
      <c r="X240" s="2" t="s">
        <v>235</v>
      </c>
      <c r="Y240" s="34" t="b">
        <f aca="false">FALSE()</f>
        <v>0</v>
      </c>
      <c r="Z240" s="2" t="s">
        <v>144</v>
      </c>
      <c r="AA240" s="2" t="s">
        <v>229</v>
      </c>
      <c r="AB240" s="34" t="b">
        <f aca="false">TRUE()</f>
        <v>1</v>
      </c>
      <c r="AC240" s="35" t="n">
        <v>4008</v>
      </c>
      <c r="AD240" s="35" t="n">
        <v>4008</v>
      </c>
      <c r="AE240" s="2" t="s">
        <v>242</v>
      </c>
      <c r="AF240" s="35" t="n">
        <v>668</v>
      </c>
      <c r="AG240" s="34" t="b">
        <f aca="false">FALSE()</f>
        <v>0</v>
      </c>
      <c r="AH240" s="2"/>
    </row>
    <row r="241" customFormat="false" ht="15" hidden="false" customHeight="false" outlineLevel="0" collapsed="false">
      <c r="A241" s="2" t="s">
        <v>570</v>
      </c>
      <c r="B241" s="2" t="s">
        <v>460</v>
      </c>
      <c r="C241" s="2" t="n">
        <v>90</v>
      </c>
      <c r="D241" s="2" t="s">
        <v>150</v>
      </c>
      <c r="E241" s="2" t="s">
        <v>153</v>
      </c>
      <c r="F241" s="2" t="s">
        <v>224</v>
      </c>
      <c r="G241" s="2" t="s">
        <v>113</v>
      </c>
      <c r="H241" s="2" t="s">
        <v>477</v>
      </c>
      <c r="I241" s="2" t="s">
        <v>122</v>
      </c>
      <c r="J241" s="2" t="s">
        <v>133</v>
      </c>
      <c r="K241" s="2" t="s">
        <v>255</v>
      </c>
      <c r="L241" s="33" t="n">
        <v>45187</v>
      </c>
      <c r="M241" s="33" t="n">
        <v>45201</v>
      </c>
      <c r="N241" s="2" t="n">
        <v>14</v>
      </c>
      <c r="O241" s="2" t="s">
        <v>182</v>
      </c>
      <c r="P241" s="34" t="b">
        <f aca="false">TRUE()</f>
        <v>1</v>
      </c>
      <c r="Q241" s="34" t="b">
        <f aca="false">FALSE()</f>
        <v>0</v>
      </c>
      <c r="R241" s="2" t="n">
        <v>9</v>
      </c>
      <c r="S241" s="2" t="s">
        <v>165</v>
      </c>
      <c r="T241" s="2" t="s">
        <v>227</v>
      </c>
      <c r="U241" s="2" t="s">
        <v>173</v>
      </c>
      <c r="V241" s="34" t="b">
        <f aca="false">FALSE()</f>
        <v>0</v>
      </c>
      <c r="W241" s="2" t="s">
        <v>139</v>
      </c>
      <c r="X241" s="2" t="s">
        <v>228</v>
      </c>
      <c r="Y241" s="34" t="b">
        <f aca="false">TRUE()</f>
        <v>1</v>
      </c>
      <c r="Z241" s="2" t="s">
        <v>144</v>
      </c>
      <c r="AA241" s="2" t="s">
        <v>229</v>
      </c>
      <c r="AB241" s="34" t="b">
        <f aca="false">TRUE()</f>
        <v>1</v>
      </c>
      <c r="AC241" s="35"/>
      <c r="AD241" s="35" t="n">
        <v>3852</v>
      </c>
      <c r="AE241" s="2" t="s">
        <v>230</v>
      </c>
      <c r="AF241" s="35"/>
      <c r="AG241" s="34" t="b">
        <f aca="false">FALSE()</f>
        <v>0</v>
      </c>
      <c r="AH241" s="2"/>
    </row>
    <row r="242" customFormat="false" ht="15" hidden="false" customHeight="false" outlineLevel="0" collapsed="false">
      <c r="A242" s="2" t="s">
        <v>571</v>
      </c>
      <c r="B242" s="2" t="s">
        <v>277</v>
      </c>
      <c r="C242" s="2" t="n">
        <v>70</v>
      </c>
      <c r="D242" s="2" t="s">
        <v>150</v>
      </c>
      <c r="E242" s="2" t="s">
        <v>153</v>
      </c>
      <c r="F242" s="2" t="s">
        <v>224</v>
      </c>
      <c r="G242" s="2" t="s">
        <v>113</v>
      </c>
      <c r="H242" s="2" t="s">
        <v>477</v>
      </c>
      <c r="I242" s="2" t="s">
        <v>122</v>
      </c>
      <c r="J242" s="2" t="s">
        <v>128</v>
      </c>
      <c r="K242" s="2" t="s">
        <v>226</v>
      </c>
      <c r="L242" s="33" t="n">
        <v>44943</v>
      </c>
      <c r="M242" s="33" t="n">
        <v>44944</v>
      </c>
      <c r="N242" s="2" t="n">
        <v>1</v>
      </c>
      <c r="O242" s="2" t="s">
        <v>180</v>
      </c>
      <c r="P242" s="34" t="b">
        <f aca="false">FALSE()</f>
        <v>0</v>
      </c>
      <c r="Q242" s="34" t="b">
        <f aca="false">FALSE()</f>
        <v>0</v>
      </c>
      <c r="R242" s="2" t="n">
        <v>1</v>
      </c>
      <c r="S242" s="2" t="s">
        <v>157</v>
      </c>
      <c r="T242" s="2" t="s">
        <v>234</v>
      </c>
      <c r="U242" s="2" t="s">
        <v>174</v>
      </c>
      <c r="V242" s="34" t="b">
        <f aca="false">FALSE()</f>
        <v>0</v>
      </c>
      <c r="W242" s="2" t="s">
        <v>137</v>
      </c>
      <c r="X242" s="2" t="s">
        <v>235</v>
      </c>
      <c r="Y242" s="34" t="b">
        <f aca="false">FALSE()</f>
        <v>0</v>
      </c>
      <c r="Z242" s="2" t="s">
        <v>143</v>
      </c>
      <c r="AA242" s="2" t="s">
        <v>236</v>
      </c>
      <c r="AB242" s="34" t="b">
        <f aca="false">FALSE()</f>
        <v>0</v>
      </c>
      <c r="AC242" s="35"/>
      <c r="AD242" s="35" t="n">
        <v>999</v>
      </c>
      <c r="AE242" s="2" t="s">
        <v>257</v>
      </c>
      <c r="AF242" s="35"/>
      <c r="AG242" s="34" t="b">
        <f aca="false">TRUE()</f>
        <v>1</v>
      </c>
      <c r="AH242" s="2"/>
    </row>
    <row r="243" customFormat="false" ht="15" hidden="false" customHeight="false" outlineLevel="0" collapsed="false">
      <c r="A243" s="2" t="s">
        <v>572</v>
      </c>
      <c r="B243" s="2" t="s">
        <v>555</v>
      </c>
      <c r="C243" s="2" t="n">
        <v>47</v>
      </c>
      <c r="D243" s="2" t="s">
        <v>149</v>
      </c>
      <c r="E243" s="2" t="s">
        <v>154</v>
      </c>
      <c r="F243" s="2" t="s">
        <v>233</v>
      </c>
      <c r="G243" s="2" t="s">
        <v>113</v>
      </c>
      <c r="H243" s="2" t="s">
        <v>477</v>
      </c>
      <c r="I243" s="2" t="s">
        <v>122</v>
      </c>
      <c r="J243" s="2" t="s">
        <v>128</v>
      </c>
      <c r="K243" s="2" t="s">
        <v>226</v>
      </c>
      <c r="L243" s="33" t="n">
        <v>45053</v>
      </c>
      <c r="M243" s="33" t="n">
        <v>45070</v>
      </c>
      <c r="N243" s="2" t="n">
        <v>17</v>
      </c>
      <c r="O243" s="2" t="s">
        <v>183</v>
      </c>
      <c r="P243" s="34" t="b">
        <f aca="false">TRUE()</f>
        <v>1</v>
      </c>
      <c r="Q243" s="34" t="b">
        <f aca="false">FALSE()</f>
        <v>0</v>
      </c>
      <c r="R243" s="2" t="n">
        <v>5</v>
      </c>
      <c r="S243" s="2" t="s">
        <v>161</v>
      </c>
      <c r="T243" s="2" t="s">
        <v>246</v>
      </c>
      <c r="U243" s="2" t="s">
        <v>172</v>
      </c>
      <c r="V243" s="34" t="b">
        <f aca="false">FALSE()</f>
        <v>0</v>
      </c>
      <c r="W243" s="2" t="s">
        <v>139</v>
      </c>
      <c r="X243" s="2" t="s">
        <v>228</v>
      </c>
      <c r="Y243" s="34" t="b">
        <f aca="false">TRUE()</f>
        <v>1</v>
      </c>
      <c r="Z243" s="2" t="s">
        <v>144</v>
      </c>
      <c r="AA243" s="2" t="s">
        <v>229</v>
      </c>
      <c r="AB243" s="34" t="b">
        <f aca="false">TRUE()</f>
        <v>1</v>
      </c>
      <c r="AC243" s="35"/>
      <c r="AD243" s="35" t="n">
        <v>999</v>
      </c>
      <c r="AE243" s="2" t="s">
        <v>257</v>
      </c>
      <c r="AF243" s="35"/>
      <c r="AG243" s="34" t="b">
        <f aca="false">FALSE()</f>
        <v>0</v>
      </c>
      <c r="AH243" s="2"/>
    </row>
    <row r="244" customFormat="false" ht="15" hidden="false" customHeight="false" outlineLevel="0" collapsed="false">
      <c r="A244" s="2" t="s">
        <v>573</v>
      </c>
      <c r="B244" s="2" t="s">
        <v>238</v>
      </c>
      <c r="C244" s="2" t="n">
        <v>16</v>
      </c>
      <c r="D244" s="2" t="s">
        <v>147</v>
      </c>
      <c r="E244" s="2" t="s">
        <v>153</v>
      </c>
      <c r="F244" s="2" t="s">
        <v>224</v>
      </c>
      <c r="G244" s="2" t="s">
        <v>113</v>
      </c>
      <c r="H244" s="2" t="s">
        <v>477</v>
      </c>
      <c r="I244" s="2" t="s">
        <v>122</v>
      </c>
      <c r="J244" s="2" t="s">
        <v>133</v>
      </c>
      <c r="K244" s="2" t="s">
        <v>255</v>
      </c>
      <c r="L244" s="33" t="n">
        <v>45101</v>
      </c>
      <c r="M244" s="33" t="n">
        <v>45106</v>
      </c>
      <c r="N244" s="2" t="n">
        <v>5</v>
      </c>
      <c r="O244" s="2" t="s">
        <v>181</v>
      </c>
      <c r="P244" s="34" t="b">
        <f aca="false">FALSE()</f>
        <v>0</v>
      </c>
      <c r="Q244" s="34" t="b">
        <f aca="false">FALSE()</f>
        <v>0</v>
      </c>
      <c r="R244" s="2" t="n">
        <v>6</v>
      </c>
      <c r="S244" s="2" t="s">
        <v>162</v>
      </c>
      <c r="T244" s="2" t="s">
        <v>246</v>
      </c>
      <c r="U244" s="2" t="s">
        <v>171</v>
      </c>
      <c r="V244" s="34" t="b">
        <f aca="false">TRUE()</f>
        <v>1</v>
      </c>
      <c r="W244" s="2" t="s">
        <v>138</v>
      </c>
      <c r="X244" s="2" t="s">
        <v>250</v>
      </c>
      <c r="Y244" s="34" t="b">
        <f aca="false">FALSE()</f>
        <v>0</v>
      </c>
      <c r="Z244" s="2" t="s">
        <v>144</v>
      </c>
      <c r="AA244" s="2" t="s">
        <v>229</v>
      </c>
      <c r="AB244" s="34" t="b">
        <f aca="false">TRUE()</f>
        <v>1</v>
      </c>
      <c r="AC244" s="35"/>
      <c r="AD244" s="35" t="n">
        <v>3852</v>
      </c>
      <c r="AE244" s="2" t="s">
        <v>230</v>
      </c>
      <c r="AF244" s="35"/>
      <c r="AG244" s="34" t="b">
        <f aca="false">FALSE()</f>
        <v>0</v>
      </c>
      <c r="AH244" s="2"/>
    </row>
    <row r="245" customFormat="false" ht="15" hidden="false" customHeight="false" outlineLevel="0" collapsed="false">
      <c r="A245" s="2" t="s">
        <v>574</v>
      </c>
      <c r="B245" s="2" t="s">
        <v>223</v>
      </c>
      <c r="C245" s="2" t="n">
        <v>27</v>
      </c>
      <c r="D245" s="2" t="s">
        <v>148</v>
      </c>
      <c r="E245" s="2" t="s">
        <v>153</v>
      </c>
      <c r="F245" s="2" t="s">
        <v>224</v>
      </c>
      <c r="G245" s="2" t="s">
        <v>113</v>
      </c>
      <c r="H245" s="2" t="s">
        <v>477</v>
      </c>
      <c r="I245" s="2" t="s">
        <v>122</v>
      </c>
      <c r="J245" s="2" t="s">
        <v>131</v>
      </c>
      <c r="K245" s="2" t="s">
        <v>263</v>
      </c>
      <c r="L245" s="33" t="n">
        <v>45007</v>
      </c>
      <c r="M245" s="33" t="n">
        <v>45009</v>
      </c>
      <c r="N245" s="2" t="n">
        <v>2</v>
      </c>
      <c r="O245" s="2" t="s">
        <v>180</v>
      </c>
      <c r="P245" s="34" t="b">
        <f aca="false">FALSE()</f>
        <v>0</v>
      </c>
      <c r="Q245" s="34" t="b">
        <f aca="false">FALSE()</f>
        <v>0</v>
      </c>
      <c r="R245" s="2" t="n">
        <v>3</v>
      </c>
      <c r="S245" s="2" t="s">
        <v>159</v>
      </c>
      <c r="T245" s="2" t="s">
        <v>234</v>
      </c>
      <c r="U245" s="2" t="s">
        <v>175</v>
      </c>
      <c r="V245" s="34" t="b">
        <f aca="false">FALSE()</f>
        <v>0</v>
      </c>
      <c r="W245" s="2" t="s">
        <v>138</v>
      </c>
      <c r="X245" s="2" t="s">
        <v>250</v>
      </c>
      <c r="Y245" s="34" t="b">
        <f aca="false">FALSE()</f>
        <v>0</v>
      </c>
      <c r="Z245" s="2" t="s">
        <v>143</v>
      </c>
      <c r="AA245" s="2" t="s">
        <v>236</v>
      </c>
      <c r="AB245" s="34" t="b">
        <f aca="false">FALSE()</f>
        <v>0</v>
      </c>
      <c r="AC245" s="35"/>
      <c r="AD245" s="35" t="n">
        <v>3852</v>
      </c>
      <c r="AE245" s="2" t="s">
        <v>230</v>
      </c>
      <c r="AF245" s="35"/>
      <c r="AG245" s="34" t="b">
        <f aca="false">FALSE()</f>
        <v>0</v>
      </c>
      <c r="AH245" s="2"/>
    </row>
    <row r="246" customFormat="false" ht="15" hidden="false" customHeight="false" outlineLevel="0" collapsed="false">
      <c r="A246" s="2" t="s">
        <v>575</v>
      </c>
      <c r="B246" s="2" t="s">
        <v>327</v>
      </c>
      <c r="C246" s="2" t="n">
        <v>46</v>
      </c>
      <c r="D246" s="2" t="s">
        <v>149</v>
      </c>
      <c r="E246" s="2" t="s">
        <v>154</v>
      </c>
      <c r="F246" s="2" t="s">
        <v>233</v>
      </c>
      <c r="G246" s="2" t="s">
        <v>113</v>
      </c>
      <c r="H246" s="2" t="s">
        <v>477</v>
      </c>
      <c r="I246" s="2" t="s">
        <v>122</v>
      </c>
      <c r="J246" s="2" t="s">
        <v>132</v>
      </c>
      <c r="K246" s="2" t="s">
        <v>249</v>
      </c>
      <c r="L246" s="33" t="n">
        <v>45228</v>
      </c>
      <c r="M246" s="33" t="n">
        <v>45231</v>
      </c>
      <c r="N246" s="2" t="n">
        <v>3</v>
      </c>
      <c r="O246" s="2" t="s">
        <v>180</v>
      </c>
      <c r="P246" s="34" t="b">
        <f aca="false">FALSE()</f>
        <v>0</v>
      </c>
      <c r="Q246" s="34" t="b">
        <f aca="false">FALSE()</f>
        <v>0</v>
      </c>
      <c r="R246" s="2" t="n">
        <v>10</v>
      </c>
      <c r="S246" s="2" t="s">
        <v>166</v>
      </c>
      <c r="T246" s="2" t="s">
        <v>241</v>
      </c>
      <c r="U246" s="2" t="s">
        <v>172</v>
      </c>
      <c r="V246" s="34" t="b">
        <f aca="false">FALSE()</f>
        <v>0</v>
      </c>
      <c r="W246" s="2" t="s">
        <v>137</v>
      </c>
      <c r="X246" s="2" t="s">
        <v>235</v>
      </c>
      <c r="Y246" s="34" t="b">
        <f aca="false">FALSE()</f>
        <v>0</v>
      </c>
      <c r="Z246" s="2" t="s">
        <v>143</v>
      </c>
      <c r="AA246" s="2" t="s">
        <v>236</v>
      </c>
      <c r="AB246" s="34" t="b">
        <f aca="false">FALSE()</f>
        <v>0</v>
      </c>
      <c r="AC246" s="35" t="n">
        <v>4619</v>
      </c>
      <c r="AD246" s="35" t="n">
        <v>4619</v>
      </c>
      <c r="AE246" s="2" t="s">
        <v>242</v>
      </c>
      <c r="AF246" s="35" t="n">
        <v>1539.67</v>
      </c>
      <c r="AG246" s="34" t="b">
        <f aca="false">TRUE()</f>
        <v>1</v>
      </c>
      <c r="AH246" s="2"/>
    </row>
    <row r="247" customFormat="false" ht="15" hidden="false" customHeight="false" outlineLevel="0" collapsed="false">
      <c r="A247" s="2" t="s">
        <v>576</v>
      </c>
      <c r="B247" s="2" t="s">
        <v>277</v>
      </c>
      <c r="C247" s="2" t="n">
        <v>85</v>
      </c>
      <c r="D247" s="2" t="s">
        <v>150</v>
      </c>
      <c r="E247" s="2" t="s">
        <v>153</v>
      </c>
      <c r="F247" s="2" t="s">
        <v>224</v>
      </c>
      <c r="G247" s="2" t="s">
        <v>113</v>
      </c>
      <c r="H247" s="2" t="s">
        <v>477</v>
      </c>
      <c r="I247" s="2" t="s">
        <v>122</v>
      </c>
      <c r="J247" s="2" t="s">
        <v>130</v>
      </c>
      <c r="K247" s="2" t="s">
        <v>245</v>
      </c>
      <c r="L247" s="33" t="n">
        <v>45208</v>
      </c>
      <c r="M247" s="33" t="n">
        <v>45212</v>
      </c>
      <c r="N247" s="2" t="n">
        <v>4</v>
      </c>
      <c r="O247" s="2" t="s">
        <v>181</v>
      </c>
      <c r="P247" s="34" t="b">
        <f aca="false">FALSE()</f>
        <v>0</v>
      </c>
      <c r="Q247" s="34" t="b">
        <f aca="false">FALSE()</f>
        <v>0</v>
      </c>
      <c r="R247" s="2" t="n">
        <v>10</v>
      </c>
      <c r="S247" s="2" t="s">
        <v>166</v>
      </c>
      <c r="T247" s="2" t="s">
        <v>241</v>
      </c>
      <c r="U247" s="2" t="s">
        <v>173</v>
      </c>
      <c r="V247" s="34" t="b">
        <f aca="false">FALSE()</f>
        <v>0</v>
      </c>
      <c r="W247" s="2" t="s">
        <v>137</v>
      </c>
      <c r="X247" s="2" t="s">
        <v>235</v>
      </c>
      <c r="Y247" s="34" t="b">
        <f aca="false">FALSE()</f>
        <v>0</v>
      </c>
      <c r="Z247" s="2" t="s">
        <v>142</v>
      </c>
      <c r="AA247" s="2" t="s">
        <v>256</v>
      </c>
      <c r="AB247" s="34" t="b">
        <f aca="false">FALSE()</f>
        <v>0</v>
      </c>
      <c r="AC247" s="35"/>
      <c r="AD247" s="35" t="n">
        <v>999</v>
      </c>
      <c r="AE247" s="2" t="s">
        <v>257</v>
      </c>
      <c r="AF247" s="35"/>
      <c r="AG247" s="34" t="b">
        <f aca="false">FALSE()</f>
        <v>0</v>
      </c>
      <c r="AH247" s="2"/>
    </row>
    <row r="248" customFormat="false" ht="15" hidden="false" customHeight="false" outlineLevel="0" collapsed="false">
      <c r="A248" s="2" t="s">
        <v>577</v>
      </c>
      <c r="B248" s="2" t="s">
        <v>345</v>
      </c>
      <c r="C248" s="2" t="n">
        <v>17</v>
      </c>
      <c r="D248" s="2" t="s">
        <v>147</v>
      </c>
      <c r="E248" s="2" t="s">
        <v>153</v>
      </c>
      <c r="F248" s="2" t="s">
        <v>224</v>
      </c>
      <c r="G248" s="2" t="s">
        <v>113</v>
      </c>
      <c r="H248" s="2" t="s">
        <v>477</v>
      </c>
      <c r="I248" s="2" t="s">
        <v>122</v>
      </c>
      <c r="J248" s="2" t="s">
        <v>133</v>
      </c>
      <c r="K248" s="2" t="s">
        <v>255</v>
      </c>
      <c r="L248" s="33" t="n">
        <v>45273</v>
      </c>
      <c r="M248" s="33" t="n">
        <v>45275</v>
      </c>
      <c r="N248" s="2" t="n">
        <v>2</v>
      </c>
      <c r="O248" s="2" t="s">
        <v>180</v>
      </c>
      <c r="P248" s="34" t="b">
        <f aca="false">FALSE()</f>
        <v>0</v>
      </c>
      <c r="Q248" s="34" t="b">
        <f aca="false">FALSE()</f>
        <v>0</v>
      </c>
      <c r="R248" s="2" t="n">
        <v>12</v>
      </c>
      <c r="S248" s="2" t="s">
        <v>168</v>
      </c>
      <c r="T248" s="2" t="s">
        <v>241</v>
      </c>
      <c r="U248" s="2" t="s">
        <v>175</v>
      </c>
      <c r="V248" s="34" t="b">
        <f aca="false">FALSE()</f>
        <v>0</v>
      </c>
      <c r="W248" s="2" t="s">
        <v>139</v>
      </c>
      <c r="X248" s="2" t="s">
        <v>228</v>
      </c>
      <c r="Y248" s="34" t="b">
        <f aca="false">TRUE()</f>
        <v>1</v>
      </c>
      <c r="Z248" s="2" t="s">
        <v>142</v>
      </c>
      <c r="AA248" s="2" t="s">
        <v>256</v>
      </c>
      <c r="AB248" s="34" t="b">
        <f aca="false">FALSE()</f>
        <v>0</v>
      </c>
      <c r="AC248" s="35"/>
      <c r="AD248" s="35" t="n">
        <v>3852</v>
      </c>
      <c r="AE248" s="2" t="s">
        <v>230</v>
      </c>
      <c r="AF248" s="35"/>
      <c r="AG248" s="34" t="b">
        <f aca="false">FALSE()</f>
        <v>0</v>
      </c>
      <c r="AH2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" t="s">
        <v>578</v>
      </c>
      <c r="B1" s="2"/>
      <c r="C1" s="2"/>
      <c r="D1" s="2"/>
    </row>
    <row r="2" customFormat="false" ht="15" hidden="false" customHeight="false" outlineLevel="0" collapsed="false">
      <c r="A2" s="3" t="s">
        <v>579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4" t="s">
        <v>580</v>
      </c>
      <c r="B4" s="4" t="s">
        <v>581</v>
      </c>
      <c r="C4" s="4" t="s">
        <v>582</v>
      </c>
      <c r="D4" s="4" t="s">
        <v>583</v>
      </c>
    </row>
    <row r="5" customFormat="false" ht="15" hidden="false" customHeight="false" outlineLevel="0" collapsed="false">
      <c r="A5" s="33" t="n">
        <v>44926</v>
      </c>
      <c r="B5" s="2" t="n">
        <f aca="false">COUNTIFS('Clean Data'!$L$2:$L$248,"&lt;="&amp;A5,'Clean Data'!$M$2:$M$248,"&gt;"&amp;A5)</f>
        <v>1</v>
      </c>
      <c r="C5" s="2" t="n">
        <f aca="false">COUNTIFS('Clean Data'!$L$2:$L$248,A5)</f>
        <v>1</v>
      </c>
      <c r="D5" s="2" t="n">
        <f aca="false">COUNTIFS('Clean Data'!$M$2:$M$248,A5)</f>
        <v>0</v>
      </c>
    </row>
    <row r="6" customFormat="false" ht="15" hidden="false" customHeight="false" outlineLevel="0" collapsed="false">
      <c r="A6" s="33" t="n">
        <v>44927</v>
      </c>
      <c r="B6" s="2" t="n">
        <f aca="false">COUNTIFS('Clean Data'!$L$2:$L$248,"&lt;="&amp;A6,'Clean Data'!$M$2:$M$248,"&gt;"&amp;A6)</f>
        <v>2</v>
      </c>
      <c r="C6" s="2" t="n">
        <f aca="false">COUNTIFS('Clean Data'!$L$2:$L$248,A6)</f>
        <v>1</v>
      </c>
      <c r="D6" s="2" t="n">
        <f aca="false">COUNTIFS('Clean Data'!$M$2:$M$248,A6)</f>
        <v>0</v>
      </c>
    </row>
    <row r="7" customFormat="false" ht="15" hidden="false" customHeight="false" outlineLevel="0" collapsed="false">
      <c r="A7" s="33" t="n">
        <v>44928</v>
      </c>
      <c r="B7" s="2" t="n">
        <f aca="false">COUNTIFS('Clean Data'!$L$2:$L$248,"&lt;="&amp;A7,'Clean Data'!$M$2:$M$248,"&gt;"&amp;A7)</f>
        <v>2</v>
      </c>
      <c r="C7" s="2" t="n">
        <f aca="false">COUNTIFS('Clean Data'!$L$2:$L$248,A7)</f>
        <v>0</v>
      </c>
      <c r="D7" s="2" t="n">
        <f aca="false">COUNTIFS('Clean Data'!$M$2:$M$248,A7)</f>
        <v>0</v>
      </c>
    </row>
    <row r="8" customFormat="false" ht="15" hidden="false" customHeight="false" outlineLevel="0" collapsed="false">
      <c r="A8" s="33" t="n">
        <v>44929</v>
      </c>
      <c r="B8" s="2" t="n">
        <f aca="false">COUNTIFS('Clean Data'!$L$2:$L$248,"&lt;="&amp;A8,'Clean Data'!$M$2:$M$248,"&gt;"&amp;A8)</f>
        <v>1</v>
      </c>
      <c r="C8" s="2" t="n">
        <f aca="false">COUNTIFS('Clean Data'!$L$2:$L$248,A8)</f>
        <v>0</v>
      </c>
      <c r="D8" s="2" t="n">
        <f aca="false">COUNTIFS('Clean Data'!$M$2:$M$248,A8)</f>
        <v>1</v>
      </c>
    </row>
    <row r="9" customFormat="false" ht="15" hidden="false" customHeight="false" outlineLevel="0" collapsed="false">
      <c r="A9" s="33" t="n">
        <v>44930</v>
      </c>
      <c r="B9" s="2" t="n">
        <f aca="false">COUNTIFS('Clean Data'!$L$2:$L$248,"&lt;="&amp;A9,'Clean Data'!$M$2:$M$248,"&gt;"&amp;A9)</f>
        <v>1</v>
      </c>
      <c r="C9" s="2" t="n">
        <f aca="false">COUNTIFS('Clean Data'!$L$2:$L$248,A9)</f>
        <v>0</v>
      </c>
      <c r="D9" s="2" t="n">
        <f aca="false">COUNTIFS('Clean Data'!$M$2:$M$248,A9)</f>
        <v>0</v>
      </c>
    </row>
    <row r="10" customFormat="false" ht="15" hidden="false" customHeight="false" outlineLevel="0" collapsed="false">
      <c r="A10" s="33" t="n">
        <v>44931</v>
      </c>
      <c r="B10" s="2" t="n">
        <f aca="false">COUNTIFS('Clean Data'!$L$2:$L$248,"&lt;="&amp;A10,'Clean Data'!$M$2:$M$248,"&gt;"&amp;A10)</f>
        <v>3</v>
      </c>
      <c r="C10" s="2" t="n">
        <f aca="false">COUNTIFS('Clean Data'!$L$2:$L$248,A10)</f>
        <v>3</v>
      </c>
      <c r="D10" s="2" t="n">
        <f aca="false">COUNTIFS('Clean Data'!$M$2:$M$248,A10)</f>
        <v>1</v>
      </c>
    </row>
    <row r="11" customFormat="false" ht="15" hidden="false" customHeight="false" outlineLevel="0" collapsed="false">
      <c r="A11" s="33" t="n">
        <v>44932</v>
      </c>
      <c r="B11" s="2" t="n">
        <f aca="false">COUNTIFS('Clean Data'!$L$2:$L$248,"&lt;="&amp;A11,'Clean Data'!$M$2:$M$248,"&gt;"&amp;A11)</f>
        <v>5</v>
      </c>
      <c r="C11" s="2" t="n">
        <f aca="false">COUNTIFS('Clean Data'!$L$2:$L$248,A11)</f>
        <v>2</v>
      </c>
      <c r="D11" s="2" t="n">
        <f aca="false">COUNTIFS('Clean Data'!$M$2:$M$248,A11)</f>
        <v>0</v>
      </c>
    </row>
    <row r="12" customFormat="false" ht="15" hidden="false" customHeight="false" outlineLevel="0" collapsed="false">
      <c r="A12" s="33" t="n">
        <v>44933</v>
      </c>
      <c r="B12" s="2" t="n">
        <f aca="false">COUNTIFS('Clean Data'!$L$2:$L$248,"&lt;="&amp;A12,'Clean Data'!$M$2:$M$248,"&gt;"&amp;A12)</f>
        <v>4</v>
      </c>
      <c r="C12" s="2" t="n">
        <f aca="false">COUNTIFS('Clean Data'!$L$2:$L$248,A12)</f>
        <v>0</v>
      </c>
      <c r="D12" s="2" t="n">
        <f aca="false">COUNTIFS('Clean Data'!$M$2:$M$248,A12)</f>
        <v>1</v>
      </c>
    </row>
    <row r="13" customFormat="false" ht="15" hidden="false" customHeight="false" outlineLevel="0" collapsed="false">
      <c r="A13" s="33" t="n">
        <v>44934</v>
      </c>
      <c r="B13" s="2" t="n">
        <f aca="false">COUNTIFS('Clean Data'!$L$2:$L$248,"&lt;="&amp;A13,'Clean Data'!$M$2:$M$248,"&gt;"&amp;A13)</f>
        <v>6</v>
      </c>
      <c r="C13" s="2" t="n">
        <f aca="false">COUNTIFS('Clean Data'!$L$2:$L$248,A13)</f>
        <v>2</v>
      </c>
      <c r="D13" s="2" t="n">
        <f aca="false">COUNTIFS('Clean Data'!$M$2:$M$248,A13)</f>
        <v>0</v>
      </c>
    </row>
    <row r="14" customFormat="false" ht="15" hidden="false" customHeight="false" outlineLevel="0" collapsed="false">
      <c r="A14" s="33" t="n">
        <v>44935</v>
      </c>
      <c r="B14" s="2" t="n">
        <f aca="false">COUNTIFS('Clean Data'!$L$2:$L$248,"&lt;="&amp;A14,'Clean Data'!$M$2:$M$248,"&gt;"&amp;A14)</f>
        <v>6</v>
      </c>
      <c r="C14" s="2" t="n">
        <f aca="false">COUNTIFS('Clean Data'!$L$2:$L$248,A14)</f>
        <v>0</v>
      </c>
      <c r="D14" s="2" t="n">
        <f aca="false">COUNTIFS('Clean Data'!$M$2:$M$248,A14)</f>
        <v>0</v>
      </c>
    </row>
    <row r="15" customFormat="false" ht="15" hidden="false" customHeight="false" outlineLevel="0" collapsed="false">
      <c r="A15" s="33" t="n">
        <v>44936</v>
      </c>
      <c r="B15" s="2" t="n">
        <f aca="false">COUNTIFS('Clean Data'!$L$2:$L$248,"&lt;="&amp;A15,'Clean Data'!$M$2:$M$248,"&gt;"&amp;A15)</f>
        <v>5</v>
      </c>
      <c r="C15" s="2" t="n">
        <f aca="false">COUNTIFS('Clean Data'!$L$2:$L$248,A15)</f>
        <v>2</v>
      </c>
      <c r="D15" s="2" t="n">
        <f aca="false">COUNTIFS('Clean Data'!$M$2:$M$248,A15)</f>
        <v>3</v>
      </c>
    </row>
    <row r="16" customFormat="false" ht="15" hidden="false" customHeight="false" outlineLevel="0" collapsed="false">
      <c r="A16" s="33" t="n">
        <v>44937</v>
      </c>
      <c r="B16" s="2" t="n">
        <f aca="false">COUNTIFS('Clean Data'!$L$2:$L$248,"&lt;="&amp;A16,'Clean Data'!$M$2:$M$248,"&gt;"&amp;A16)</f>
        <v>3</v>
      </c>
      <c r="C16" s="2" t="n">
        <f aca="false">COUNTIFS('Clean Data'!$L$2:$L$248,A16)</f>
        <v>0</v>
      </c>
      <c r="D16" s="2" t="n">
        <f aca="false">COUNTIFS('Clean Data'!$M$2:$M$248,A16)</f>
        <v>2</v>
      </c>
    </row>
    <row r="17" customFormat="false" ht="15" hidden="false" customHeight="false" outlineLevel="0" collapsed="false">
      <c r="A17" s="33" t="n">
        <v>44938</v>
      </c>
      <c r="B17" s="2" t="n">
        <f aca="false">COUNTIFS('Clean Data'!$L$2:$L$248,"&lt;="&amp;A17,'Clean Data'!$M$2:$M$248,"&gt;"&amp;A17)</f>
        <v>3</v>
      </c>
      <c r="C17" s="2" t="n">
        <f aca="false">COUNTIFS('Clean Data'!$L$2:$L$248,A17)</f>
        <v>0</v>
      </c>
      <c r="D17" s="2" t="n">
        <f aca="false">COUNTIFS('Clean Data'!$M$2:$M$248,A17)</f>
        <v>0</v>
      </c>
    </row>
    <row r="18" customFormat="false" ht="15" hidden="false" customHeight="false" outlineLevel="0" collapsed="false">
      <c r="A18" s="33" t="n">
        <v>44939</v>
      </c>
      <c r="B18" s="2" t="n">
        <f aca="false">COUNTIFS('Clean Data'!$L$2:$L$248,"&lt;="&amp;A18,'Clean Data'!$M$2:$M$248,"&gt;"&amp;A18)</f>
        <v>2</v>
      </c>
      <c r="C18" s="2" t="n">
        <f aca="false">COUNTIFS('Clean Data'!$L$2:$L$248,A18)</f>
        <v>0</v>
      </c>
      <c r="D18" s="2" t="n">
        <f aca="false">COUNTIFS('Clean Data'!$M$2:$M$248,A18)</f>
        <v>1</v>
      </c>
    </row>
    <row r="19" customFormat="false" ht="15" hidden="false" customHeight="false" outlineLevel="0" collapsed="false">
      <c r="A19" s="33" t="n">
        <v>44940</v>
      </c>
      <c r="B19" s="2" t="n">
        <f aca="false">COUNTIFS('Clean Data'!$L$2:$L$248,"&lt;="&amp;A19,'Clean Data'!$M$2:$M$248,"&gt;"&amp;A19)</f>
        <v>3</v>
      </c>
      <c r="C19" s="2" t="n">
        <f aca="false">COUNTIFS('Clean Data'!$L$2:$L$248,A19)</f>
        <v>1</v>
      </c>
      <c r="D19" s="2" t="n">
        <f aca="false">COUNTIFS('Clean Data'!$M$2:$M$248,A19)</f>
        <v>0</v>
      </c>
    </row>
    <row r="20" customFormat="false" ht="15" hidden="false" customHeight="false" outlineLevel="0" collapsed="false">
      <c r="A20" s="33" t="n">
        <v>44941</v>
      </c>
      <c r="B20" s="2" t="n">
        <f aca="false">COUNTIFS('Clean Data'!$L$2:$L$248,"&lt;="&amp;A20,'Clean Data'!$M$2:$M$248,"&gt;"&amp;A20)</f>
        <v>5</v>
      </c>
      <c r="C20" s="2" t="n">
        <f aca="false">COUNTIFS('Clean Data'!$L$2:$L$248,A20)</f>
        <v>2</v>
      </c>
      <c r="D20" s="2" t="n">
        <f aca="false">COUNTIFS('Clean Data'!$M$2:$M$248,A20)</f>
        <v>0</v>
      </c>
    </row>
    <row r="21" customFormat="false" ht="15" hidden="false" customHeight="false" outlineLevel="0" collapsed="false">
      <c r="A21" s="33" t="n">
        <v>44942</v>
      </c>
      <c r="B21" s="2" t="n">
        <f aca="false">COUNTIFS('Clean Data'!$L$2:$L$248,"&lt;="&amp;A21,'Clean Data'!$M$2:$M$248,"&gt;"&amp;A21)</f>
        <v>6</v>
      </c>
      <c r="C21" s="2" t="n">
        <f aca="false">COUNTIFS('Clean Data'!$L$2:$L$248,A21)</f>
        <v>1</v>
      </c>
      <c r="D21" s="2" t="n">
        <f aca="false">COUNTIFS('Clean Data'!$M$2:$M$248,A21)</f>
        <v>0</v>
      </c>
    </row>
    <row r="22" customFormat="false" ht="15" hidden="false" customHeight="false" outlineLevel="0" collapsed="false">
      <c r="A22" s="33" t="n">
        <v>44943</v>
      </c>
      <c r="B22" s="2" t="n">
        <f aca="false">COUNTIFS('Clean Data'!$L$2:$L$248,"&lt;="&amp;A22,'Clean Data'!$M$2:$M$248,"&gt;"&amp;A22)</f>
        <v>7</v>
      </c>
      <c r="C22" s="2" t="n">
        <f aca="false">COUNTIFS('Clean Data'!$L$2:$L$248,A22)</f>
        <v>2</v>
      </c>
      <c r="D22" s="2" t="n">
        <f aca="false">COUNTIFS('Clean Data'!$M$2:$M$248,A22)</f>
        <v>1</v>
      </c>
    </row>
    <row r="23" customFormat="false" ht="15" hidden="false" customHeight="false" outlineLevel="0" collapsed="false">
      <c r="A23" s="33" t="n">
        <v>44944</v>
      </c>
      <c r="B23" s="2" t="n">
        <f aca="false">COUNTIFS('Clean Data'!$L$2:$L$248,"&lt;="&amp;A23,'Clean Data'!$M$2:$M$248,"&gt;"&amp;A23)</f>
        <v>6</v>
      </c>
      <c r="C23" s="2" t="n">
        <f aca="false">COUNTIFS('Clean Data'!$L$2:$L$248,A23)</f>
        <v>1</v>
      </c>
      <c r="D23" s="2" t="n">
        <f aca="false">COUNTIFS('Clean Data'!$M$2:$M$248,A23)</f>
        <v>2</v>
      </c>
    </row>
    <row r="24" customFormat="false" ht="15" hidden="false" customHeight="false" outlineLevel="0" collapsed="false">
      <c r="A24" s="33" t="n">
        <v>44945</v>
      </c>
      <c r="B24" s="2" t="n">
        <f aca="false">COUNTIFS('Clean Data'!$L$2:$L$248,"&lt;="&amp;A24,'Clean Data'!$M$2:$M$248,"&gt;"&amp;A24)</f>
        <v>6</v>
      </c>
      <c r="C24" s="2" t="n">
        <f aca="false">COUNTIFS('Clean Data'!$L$2:$L$248,A24)</f>
        <v>1</v>
      </c>
      <c r="D24" s="2" t="n">
        <f aca="false">COUNTIFS('Clean Data'!$M$2:$M$248,A24)</f>
        <v>1</v>
      </c>
    </row>
    <row r="25" customFormat="false" ht="15" hidden="false" customHeight="false" outlineLevel="0" collapsed="false">
      <c r="A25" s="33" t="n">
        <v>44946</v>
      </c>
      <c r="B25" s="2" t="n">
        <f aca="false">COUNTIFS('Clean Data'!$L$2:$L$248,"&lt;="&amp;A25,'Clean Data'!$M$2:$M$248,"&gt;"&amp;A25)</f>
        <v>6</v>
      </c>
      <c r="C25" s="2" t="n">
        <f aca="false">COUNTIFS('Clean Data'!$L$2:$L$248,A25)</f>
        <v>0</v>
      </c>
      <c r="D25" s="2" t="n">
        <f aca="false">COUNTIFS('Clean Data'!$M$2:$M$248,A25)</f>
        <v>0</v>
      </c>
    </row>
    <row r="26" customFormat="false" ht="15" hidden="false" customHeight="false" outlineLevel="0" collapsed="false">
      <c r="A26" s="33" t="n">
        <v>44947</v>
      </c>
      <c r="B26" s="2" t="n">
        <f aca="false">COUNTIFS('Clean Data'!$L$2:$L$248,"&lt;="&amp;A26,'Clean Data'!$M$2:$M$248,"&gt;"&amp;A26)</f>
        <v>5</v>
      </c>
      <c r="C26" s="2" t="n">
        <f aca="false">COUNTIFS('Clean Data'!$L$2:$L$248,A26)</f>
        <v>0</v>
      </c>
      <c r="D26" s="2" t="n">
        <f aca="false">COUNTIFS('Clean Data'!$M$2:$M$248,A26)</f>
        <v>1</v>
      </c>
    </row>
    <row r="27" customFormat="false" ht="15" hidden="false" customHeight="false" outlineLevel="0" collapsed="false">
      <c r="A27" s="33" t="n">
        <v>44948</v>
      </c>
      <c r="B27" s="2" t="n">
        <f aca="false">COUNTIFS('Clean Data'!$L$2:$L$248,"&lt;="&amp;A27,'Clean Data'!$M$2:$M$248,"&gt;"&amp;A27)</f>
        <v>5</v>
      </c>
      <c r="C27" s="2" t="n">
        <f aca="false">COUNTIFS('Clean Data'!$L$2:$L$248,A27)</f>
        <v>1</v>
      </c>
      <c r="D27" s="2" t="n">
        <f aca="false">COUNTIFS('Clean Data'!$M$2:$M$248,A27)</f>
        <v>1</v>
      </c>
    </row>
    <row r="28" customFormat="false" ht="15" hidden="false" customHeight="false" outlineLevel="0" collapsed="false">
      <c r="A28" s="33" t="n">
        <v>44949</v>
      </c>
      <c r="B28" s="2" t="n">
        <f aca="false">COUNTIFS('Clean Data'!$L$2:$L$248,"&lt;="&amp;A28,'Clean Data'!$M$2:$M$248,"&gt;"&amp;A28)</f>
        <v>4</v>
      </c>
      <c r="C28" s="2" t="n">
        <f aca="false">COUNTIFS('Clean Data'!$L$2:$L$248,A28)</f>
        <v>1</v>
      </c>
      <c r="D28" s="2" t="n">
        <f aca="false">COUNTIFS('Clean Data'!$M$2:$M$248,A28)</f>
        <v>2</v>
      </c>
    </row>
    <row r="29" customFormat="false" ht="15" hidden="false" customHeight="false" outlineLevel="0" collapsed="false">
      <c r="A29" s="33" t="n">
        <v>44950</v>
      </c>
      <c r="B29" s="2" t="n">
        <f aca="false">COUNTIFS('Clean Data'!$L$2:$L$248,"&lt;="&amp;A29,'Clean Data'!$M$2:$M$248,"&gt;"&amp;A29)</f>
        <v>4</v>
      </c>
      <c r="C29" s="2" t="n">
        <f aca="false">COUNTIFS('Clean Data'!$L$2:$L$248,A29)</f>
        <v>0</v>
      </c>
      <c r="D29" s="2" t="n">
        <f aca="false">COUNTIFS('Clean Data'!$M$2:$M$248,A29)</f>
        <v>0</v>
      </c>
    </row>
    <row r="30" customFormat="false" ht="15" hidden="false" customHeight="false" outlineLevel="0" collapsed="false">
      <c r="A30" s="33" t="n">
        <v>44951</v>
      </c>
      <c r="B30" s="2" t="n">
        <f aca="false">COUNTIFS('Clean Data'!$L$2:$L$248,"&lt;="&amp;A30,'Clean Data'!$M$2:$M$248,"&gt;"&amp;A30)</f>
        <v>4</v>
      </c>
      <c r="C30" s="2" t="n">
        <f aca="false">COUNTIFS('Clean Data'!$L$2:$L$248,A30)</f>
        <v>0</v>
      </c>
      <c r="D30" s="2" t="n">
        <f aca="false">COUNTIFS('Clean Data'!$M$2:$M$248,A30)</f>
        <v>0</v>
      </c>
    </row>
    <row r="31" customFormat="false" ht="15" hidden="false" customHeight="false" outlineLevel="0" collapsed="false">
      <c r="A31" s="33" t="n">
        <v>44952</v>
      </c>
      <c r="B31" s="2" t="n">
        <f aca="false">COUNTIFS('Clean Data'!$L$2:$L$248,"&lt;="&amp;A31,'Clean Data'!$M$2:$M$248,"&gt;"&amp;A31)</f>
        <v>6</v>
      </c>
      <c r="C31" s="2" t="n">
        <f aca="false">COUNTIFS('Clean Data'!$L$2:$L$248,A31)</f>
        <v>2</v>
      </c>
      <c r="D31" s="2" t="n">
        <f aca="false">COUNTIFS('Clean Data'!$M$2:$M$248,A31)</f>
        <v>0</v>
      </c>
    </row>
    <row r="32" customFormat="false" ht="15" hidden="false" customHeight="false" outlineLevel="0" collapsed="false">
      <c r="A32" s="33" t="n">
        <v>44953</v>
      </c>
      <c r="B32" s="2" t="n">
        <f aca="false">COUNTIFS('Clean Data'!$L$2:$L$248,"&lt;="&amp;A32,'Clean Data'!$M$2:$M$248,"&gt;"&amp;A32)</f>
        <v>7</v>
      </c>
      <c r="C32" s="2" t="n">
        <f aca="false">COUNTIFS('Clean Data'!$L$2:$L$248,A32)</f>
        <v>1</v>
      </c>
      <c r="D32" s="2" t="n">
        <f aca="false">COUNTIFS('Clean Data'!$M$2:$M$248,A32)</f>
        <v>0</v>
      </c>
    </row>
    <row r="33" customFormat="false" ht="15" hidden="false" customHeight="false" outlineLevel="0" collapsed="false">
      <c r="A33" s="33" t="n">
        <v>44954</v>
      </c>
      <c r="B33" s="2" t="n">
        <f aca="false">COUNTIFS('Clean Data'!$L$2:$L$248,"&lt;="&amp;A33,'Clean Data'!$M$2:$M$248,"&gt;"&amp;A33)</f>
        <v>6</v>
      </c>
      <c r="C33" s="2" t="n">
        <f aca="false">COUNTIFS('Clean Data'!$L$2:$L$248,A33)</f>
        <v>1</v>
      </c>
      <c r="D33" s="2" t="n">
        <f aca="false">COUNTIFS('Clean Data'!$M$2:$M$248,A33)</f>
        <v>2</v>
      </c>
    </row>
    <row r="34" customFormat="false" ht="15" hidden="false" customHeight="false" outlineLevel="0" collapsed="false">
      <c r="A34" s="33" t="n">
        <v>44955</v>
      </c>
      <c r="B34" s="2" t="n">
        <f aca="false">COUNTIFS('Clean Data'!$L$2:$L$248,"&lt;="&amp;A34,'Clean Data'!$M$2:$M$248,"&gt;"&amp;A34)</f>
        <v>6</v>
      </c>
      <c r="C34" s="2" t="n">
        <f aca="false">COUNTIFS('Clean Data'!$L$2:$L$248,A34)</f>
        <v>0</v>
      </c>
      <c r="D34" s="2" t="n">
        <f aca="false">COUNTIFS('Clean Data'!$M$2:$M$248,A34)</f>
        <v>0</v>
      </c>
    </row>
    <row r="35" customFormat="false" ht="15" hidden="false" customHeight="false" outlineLevel="0" collapsed="false">
      <c r="A35" s="33" t="n">
        <v>44956</v>
      </c>
      <c r="B35" s="2" t="n">
        <f aca="false">COUNTIFS('Clean Data'!$L$2:$L$248,"&lt;="&amp;A35,'Clean Data'!$M$2:$M$248,"&gt;"&amp;A35)</f>
        <v>6</v>
      </c>
      <c r="C35" s="2" t="n">
        <f aca="false">COUNTIFS('Clean Data'!$L$2:$L$248,A35)</f>
        <v>0</v>
      </c>
      <c r="D35" s="2" t="n">
        <f aca="false">COUNTIFS('Clean Data'!$M$2:$M$248,A35)</f>
        <v>0</v>
      </c>
    </row>
    <row r="36" customFormat="false" ht="15" hidden="false" customHeight="false" outlineLevel="0" collapsed="false">
      <c r="A36" s="33" t="n">
        <v>44957</v>
      </c>
      <c r="B36" s="2" t="n">
        <f aca="false">COUNTIFS('Clean Data'!$L$2:$L$248,"&lt;="&amp;A36,'Clean Data'!$M$2:$M$248,"&gt;"&amp;A36)</f>
        <v>5</v>
      </c>
      <c r="C36" s="2" t="n">
        <f aca="false">COUNTIFS('Clean Data'!$L$2:$L$248,A36)</f>
        <v>0</v>
      </c>
      <c r="D36" s="2" t="n">
        <f aca="false">COUNTIFS('Clean Data'!$M$2:$M$248,A36)</f>
        <v>1</v>
      </c>
    </row>
    <row r="37" customFormat="false" ht="15" hidden="false" customHeight="false" outlineLevel="0" collapsed="false">
      <c r="A37" s="33" t="n">
        <v>44958</v>
      </c>
      <c r="B37" s="2" t="n">
        <f aca="false">COUNTIFS('Clean Data'!$L$2:$L$248,"&lt;="&amp;A37,'Clean Data'!$M$2:$M$248,"&gt;"&amp;A37)</f>
        <v>3</v>
      </c>
      <c r="C37" s="2" t="n">
        <f aca="false">COUNTIFS('Clean Data'!$L$2:$L$248,A37)</f>
        <v>0</v>
      </c>
      <c r="D37" s="2" t="n">
        <f aca="false">COUNTIFS('Clean Data'!$M$2:$M$248,A37)</f>
        <v>2</v>
      </c>
    </row>
    <row r="38" customFormat="false" ht="15" hidden="false" customHeight="false" outlineLevel="0" collapsed="false">
      <c r="A38" s="33" t="n">
        <v>44959</v>
      </c>
      <c r="B38" s="2" t="n">
        <f aca="false">COUNTIFS('Clean Data'!$L$2:$L$248,"&lt;="&amp;A38,'Clean Data'!$M$2:$M$248,"&gt;"&amp;A38)</f>
        <v>6</v>
      </c>
      <c r="C38" s="2" t="n">
        <f aca="false">COUNTIFS('Clean Data'!$L$2:$L$248,A38)</f>
        <v>3</v>
      </c>
      <c r="D38" s="2" t="n">
        <f aca="false">COUNTIFS('Clean Data'!$M$2:$M$248,A38)</f>
        <v>0</v>
      </c>
    </row>
    <row r="39" customFormat="false" ht="15" hidden="false" customHeight="false" outlineLevel="0" collapsed="false">
      <c r="A39" s="33" t="n">
        <v>44960</v>
      </c>
      <c r="B39" s="2" t="n">
        <f aca="false">COUNTIFS('Clean Data'!$L$2:$L$248,"&lt;="&amp;A39,'Clean Data'!$M$2:$M$248,"&gt;"&amp;A39)</f>
        <v>5</v>
      </c>
      <c r="C39" s="2" t="n">
        <f aca="false">COUNTIFS('Clean Data'!$L$2:$L$248,A39)</f>
        <v>0</v>
      </c>
      <c r="D39" s="2" t="n">
        <f aca="false">COUNTIFS('Clean Data'!$M$2:$M$248,A39)</f>
        <v>1</v>
      </c>
    </row>
    <row r="40" customFormat="false" ht="15" hidden="false" customHeight="false" outlineLevel="0" collapsed="false">
      <c r="A40" s="33" t="n">
        <v>44961</v>
      </c>
      <c r="B40" s="2" t="n">
        <f aca="false">COUNTIFS('Clean Data'!$L$2:$L$248,"&lt;="&amp;A40,'Clean Data'!$M$2:$M$248,"&gt;"&amp;A40)</f>
        <v>4</v>
      </c>
      <c r="C40" s="2" t="n">
        <f aca="false">COUNTIFS('Clean Data'!$L$2:$L$248,A40)</f>
        <v>0</v>
      </c>
      <c r="D40" s="2" t="n">
        <f aca="false">COUNTIFS('Clean Data'!$M$2:$M$248,A40)</f>
        <v>1</v>
      </c>
    </row>
    <row r="41" customFormat="false" ht="15" hidden="false" customHeight="false" outlineLevel="0" collapsed="false">
      <c r="A41" s="33" t="n">
        <v>44962</v>
      </c>
      <c r="B41" s="2" t="n">
        <f aca="false">COUNTIFS('Clean Data'!$L$2:$L$248,"&lt;="&amp;A41,'Clean Data'!$M$2:$M$248,"&gt;"&amp;A41)</f>
        <v>5</v>
      </c>
      <c r="C41" s="2" t="n">
        <f aca="false">COUNTIFS('Clean Data'!$L$2:$L$248,A41)</f>
        <v>1</v>
      </c>
      <c r="D41" s="2" t="n">
        <f aca="false">COUNTIFS('Clean Data'!$M$2:$M$248,A41)</f>
        <v>0</v>
      </c>
    </row>
    <row r="42" customFormat="false" ht="15" hidden="false" customHeight="false" outlineLevel="0" collapsed="false">
      <c r="A42" s="33" t="n">
        <v>44963</v>
      </c>
      <c r="B42" s="2" t="n">
        <f aca="false">COUNTIFS('Clean Data'!$L$2:$L$248,"&lt;="&amp;A42,'Clean Data'!$M$2:$M$248,"&gt;"&amp;A42)</f>
        <v>6</v>
      </c>
      <c r="C42" s="2" t="n">
        <f aca="false">COUNTIFS('Clean Data'!$L$2:$L$248,A42)</f>
        <v>2</v>
      </c>
      <c r="D42" s="2" t="n">
        <f aca="false">COUNTIFS('Clean Data'!$M$2:$M$248,A42)</f>
        <v>1</v>
      </c>
    </row>
    <row r="43" customFormat="false" ht="15" hidden="false" customHeight="false" outlineLevel="0" collapsed="false">
      <c r="A43" s="33" t="n">
        <v>44964</v>
      </c>
      <c r="B43" s="2" t="n">
        <f aca="false">COUNTIFS('Clean Data'!$L$2:$L$248,"&lt;="&amp;A43,'Clean Data'!$M$2:$M$248,"&gt;"&amp;A43)</f>
        <v>4</v>
      </c>
      <c r="C43" s="2" t="n">
        <f aca="false">COUNTIFS('Clean Data'!$L$2:$L$248,A43)</f>
        <v>0</v>
      </c>
      <c r="D43" s="2" t="n">
        <f aca="false">COUNTIFS('Clean Data'!$M$2:$M$248,A43)</f>
        <v>2</v>
      </c>
    </row>
    <row r="44" customFormat="false" ht="15" hidden="false" customHeight="false" outlineLevel="0" collapsed="false">
      <c r="A44" s="33" t="n">
        <v>44965</v>
      </c>
      <c r="B44" s="2" t="n">
        <f aca="false">COUNTIFS('Clean Data'!$L$2:$L$248,"&lt;="&amp;A44,'Clean Data'!$M$2:$M$248,"&gt;"&amp;A44)</f>
        <v>3</v>
      </c>
      <c r="C44" s="2" t="n">
        <f aca="false">COUNTIFS('Clean Data'!$L$2:$L$248,A44)</f>
        <v>0</v>
      </c>
      <c r="D44" s="2" t="n">
        <f aca="false">COUNTIFS('Clean Data'!$M$2:$M$248,A44)</f>
        <v>1</v>
      </c>
    </row>
    <row r="45" customFormat="false" ht="15" hidden="false" customHeight="false" outlineLevel="0" collapsed="false">
      <c r="A45" s="33" t="n">
        <v>44966</v>
      </c>
      <c r="B45" s="2" t="n">
        <f aca="false">COUNTIFS('Clean Data'!$L$2:$L$248,"&lt;="&amp;A45,'Clean Data'!$M$2:$M$248,"&gt;"&amp;A45)</f>
        <v>3</v>
      </c>
      <c r="C45" s="2" t="n">
        <f aca="false">COUNTIFS('Clean Data'!$L$2:$L$248,A45)</f>
        <v>1</v>
      </c>
      <c r="D45" s="2" t="n">
        <f aca="false">COUNTIFS('Clean Data'!$M$2:$M$248,A45)</f>
        <v>1</v>
      </c>
    </row>
    <row r="46" customFormat="false" ht="15" hidden="false" customHeight="false" outlineLevel="0" collapsed="false">
      <c r="A46" s="33" t="n">
        <v>44967</v>
      </c>
      <c r="B46" s="2" t="n">
        <f aca="false">COUNTIFS('Clean Data'!$L$2:$L$248,"&lt;="&amp;A46,'Clean Data'!$M$2:$M$248,"&gt;"&amp;A46)</f>
        <v>3</v>
      </c>
      <c r="C46" s="2" t="n">
        <f aca="false">COUNTIFS('Clean Data'!$L$2:$L$248,A46)</f>
        <v>0</v>
      </c>
      <c r="D46" s="2" t="n">
        <f aca="false">COUNTIFS('Clean Data'!$M$2:$M$248,A46)</f>
        <v>0</v>
      </c>
    </row>
    <row r="47" customFormat="false" ht="15" hidden="false" customHeight="false" outlineLevel="0" collapsed="false">
      <c r="A47" s="33" t="n">
        <v>44968</v>
      </c>
      <c r="B47" s="2" t="n">
        <f aca="false">COUNTIFS('Clean Data'!$L$2:$L$248,"&lt;="&amp;A47,'Clean Data'!$M$2:$M$248,"&gt;"&amp;A47)</f>
        <v>4</v>
      </c>
      <c r="C47" s="2" t="n">
        <f aca="false">COUNTIFS('Clean Data'!$L$2:$L$248,A47)</f>
        <v>1</v>
      </c>
      <c r="D47" s="2" t="n">
        <f aca="false">COUNTIFS('Clean Data'!$M$2:$M$248,A47)</f>
        <v>0</v>
      </c>
    </row>
    <row r="48" customFormat="false" ht="15" hidden="false" customHeight="false" outlineLevel="0" collapsed="false">
      <c r="A48" s="33" t="n">
        <v>44969</v>
      </c>
      <c r="B48" s="2" t="n">
        <f aca="false">COUNTIFS('Clean Data'!$L$2:$L$248,"&lt;="&amp;A48,'Clean Data'!$M$2:$M$248,"&gt;"&amp;A48)</f>
        <v>3</v>
      </c>
      <c r="C48" s="2" t="n">
        <f aca="false">COUNTIFS('Clean Data'!$L$2:$L$248,A48)</f>
        <v>0</v>
      </c>
      <c r="D48" s="2" t="n">
        <f aca="false">COUNTIFS('Clean Data'!$M$2:$M$248,A48)</f>
        <v>1</v>
      </c>
    </row>
    <row r="49" customFormat="false" ht="15" hidden="false" customHeight="false" outlineLevel="0" collapsed="false">
      <c r="A49" s="33" t="n">
        <v>44970</v>
      </c>
      <c r="B49" s="2" t="n">
        <f aca="false">COUNTIFS('Clean Data'!$L$2:$L$248,"&lt;="&amp;A49,'Clean Data'!$M$2:$M$248,"&gt;"&amp;A49)</f>
        <v>3</v>
      </c>
      <c r="C49" s="2" t="n">
        <f aca="false">COUNTIFS('Clean Data'!$L$2:$L$248,A49)</f>
        <v>0</v>
      </c>
      <c r="D49" s="2" t="n">
        <f aca="false">COUNTIFS('Clean Data'!$M$2:$M$248,A49)</f>
        <v>0</v>
      </c>
    </row>
    <row r="50" customFormat="false" ht="15" hidden="false" customHeight="false" outlineLevel="0" collapsed="false">
      <c r="A50" s="33" t="n">
        <v>44971</v>
      </c>
      <c r="B50" s="2" t="n">
        <f aca="false">COUNTIFS('Clean Data'!$L$2:$L$248,"&lt;="&amp;A50,'Clean Data'!$M$2:$M$248,"&gt;"&amp;A50)</f>
        <v>2</v>
      </c>
      <c r="C50" s="2" t="n">
        <f aca="false">COUNTIFS('Clean Data'!$L$2:$L$248,A50)</f>
        <v>0</v>
      </c>
      <c r="D50" s="2" t="n">
        <f aca="false">COUNTIFS('Clean Data'!$M$2:$M$248,A50)</f>
        <v>1</v>
      </c>
    </row>
    <row r="51" customFormat="false" ht="15" hidden="false" customHeight="false" outlineLevel="0" collapsed="false">
      <c r="A51" s="33" t="n">
        <v>44972</v>
      </c>
      <c r="B51" s="2" t="n">
        <f aca="false">COUNTIFS('Clean Data'!$L$2:$L$248,"&lt;="&amp;A51,'Clean Data'!$M$2:$M$248,"&gt;"&amp;A51)</f>
        <v>4</v>
      </c>
      <c r="C51" s="2" t="n">
        <f aca="false">COUNTIFS('Clean Data'!$L$2:$L$248,A51)</f>
        <v>2</v>
      </c>
      <c r="D51" s="2" t="n">
        <f aca="false">COUNTIFS('Clean Data'!$M$2:$M$248,A51)</f>
        <v>0</v>
      </c>
    </row>
    <row r="52" customFormat="false" ht="15" hidden="false" customHeight="false" outlineLevel="0" collapsed="false">
      <c r="A52" s="33" t="n">
        <v>44973</v>
      </c>
      <c r="B52" s="2" t="n">
        <f aca="false">COUNTIFS('Clean Data'!$L$2:$L$248,"&lt;="&amp;A52,'Clean Data'!$M$2:$M$248,"&gt;"&amp;A52)</f>
        <v>4</v>
      </c>
      <c r="C52" s="2" t="n">
        <f aca="false">COUNTIFS('Clean Data'!$L$2:$L$248,A52)</f>
        <v>0</v>
      </c>
      <c r="D52" s="2" t="n">
        <f aca="false">COUNTIFS('Clean Data'!$M$2:$M$248,A52)</f>
        <v>0</v>
      </c>
    </row>
    <row r="53" customFormat="false" ht="15" hidden="false" customHeight="false" outlineLevel="0" collapsed="false">
      <c r="A53" s="33" t="n">
        <v>44974</v>
      </c>
      <c r="B53" s="2" t="n">
        <f aca="false">COUNTIFS('Clean Data'!$L$2:$L$248,"&lt;="&amp;A53,'Clean Data'!$M$2:$M$248,"&gt;"&amp;A53)</f>
        <v>5</v>
      </c>
      <c r="C53" s="2" t="n">
        <f aca="false">COUNTIFS('Clean Data'!$L$2:$L$248,A53)</f>
        <v>1</v>
      </c>
      <c r="D53" s="2" t="n">
        <f aca="false">COUNTIFS('Clean Data'!$M$2:$M$248,A53)</f>
        <v>0</v>
      </c>
    </row>
    <row r="54" customFormat="false" ht="15" hidden="false" customHeight="false" outlineLevel="0" collapsed="false">
      <c r="A54" s="33" t="n">
        <v>44975</v>
      </c>
      <c r="B54" s="2" t="n">
        <f aca="false">COUNTIFS('Clean Data'!$L$2:$L$248,"&lt;="&amp;A54,'Clean Data'!$M$2:$M$248,"&gt;"&amp;A54)</f>
        <v>4</v>
      </c>
      <c r="C54" s="2" t="n">
        <f aca="false">COUNTIFS('Clean Data'!$L$2:$L$248,A54)</f>
        <v>0</v>
      </c>
      <c r="D54" s="2" t="n">
        <f aca="false">COUNTIFS('Clean Data'!$M$2:$M$248,A54)</f>
        <v>1</v>
      </c>
    </row>
    <row r="55" customFormat="false" ht="15" hidden="false" customHeight="false" outlineLevel="0" collapsed="false">
      <c r="A55" s="33" t="n">
        <v>44976</v>
      </c>
      <c r="B55" s="2" t="n">
        <f aca="false">COUNTIFS('Clean Data'!$L$2:$L$248,"&lt;="&amp;A55,'Clean Data'!$M$2:$M$248,"&gt;"&amp;A55)</f>
        <v>5</v>
      </c>
      <c r="C55" s="2" t="n">
        <f aca="false">COUNTIFS('Clean Data'!$L$2:$L$248,A55)</f>
        <v>2</v>
      </c>
      <c r="D55" s="2" t="n">
        <f aca="false">COUNTIFS('Clean Data'!$M$2:$M$248,A55)</f>
        <v>1</v>
      </c>
    </row>
    <row r="56" customFormat="false" ht="15" hidden="false" customHeight="false" outlineLevel="0" collapsed="false">
      <c r="A56" s="33" t="n">
        <v>44977</v>
      </c>
      <c r="B56" s="2" t="n">
        <f aca="false">COUNTIFS('Clean Data'!$L$2:$L$248,"&lt;="&amp;A56,'Clean Data'!$M$2:$M$248,"&gt;"&amp;A56)</f>
        <v>4</v>
      </c>
      <c r="C56" s="2" t="n">
        <f aca="false">COUNTIFS('Clean Data'!$L$2:$L$248,A56)</f>
        <v>0</v>
      </c>
      <c r="D56" s="2" t="n">
        <f aca="false">COUNTIFS('Clean Data'!$M$2:$M$248,A56)</f>
        <v>1</v>
      </c>
    </row>
    <row r="57" customFormat="false" ht="15" hidden="false" customHeight="false" outlineLevel="0" collapsed="false">
      <c r="A57" s="33" t="n">
        <v>44978</v>
      </c>
      <c r="B57" s="2" t="n">
        <f aca="false">COUNTIFS('Clean Data'!$L$2:$L$248,"&lt;="&amp;A57,'Clean Data'!$M$2:$M$248,"&gt;"&amp;A57)</f>
        <v>5</v>
      </c>
      <c r="C57" s="2" t="n">
        <f aca="false">COUNTIFS('Clean Data'!$L$2:$L$248,A57)</f>
        <v>1</v>
      </c>
      <c r="D57" s="2" t="n">
        <f aca="false">COUNTIFS('Clean Data'!$M$2:$M$248,A57)</f>
        <v>0</v>
      </c>
    </row>
    <row r="58" customFormat="false" ht="15" hidden="false" customHeight="false" outlineLevel="0" collapsed="false">
      <c r="A58" s="33" t="n">
        <v>44979</v>
      </c>
      <c r="B58" s="2" t="n">
        <f aca="false">COUNTIFS('Clean Data'!$L$2:$L$248,"&lt;="&amp;A58,'Clean Data'!$M$2:$M$248,"&gt;"&amp;A58)</f>
        <v>6</v>
      </c>
      <c r="C58" s="2" t="n">
        <f aca="false">COUNTIFS('Clean Data'!$L$2:$L$248,A58)</f>
        <v>1</v>
      </c>
      <c r="D58" s="2" t="n">
        <f aca="false">COUNTIFS('Clean Data'!$M$2:$M$248,A58)</f>
        <v>0</v>
      </c>
    </row>
    <row r="59" customFormat="false" ht="15" hidden="false" customHeight="false" outlineLevel="0" collapsed="false">
      <c r="A59" s="33" t="n">
        <v>44980</v>
      </c>
      <c r="B59" s="2" t="n">
        <f aca="false">COUNTIFS('Clean Data'!$L$2:$L$248,"&lt;="&amp;A59,'Clean Data'!$M$2:$M$248,"&gt;"&amp;A59)</f>
        <v>5</v>
      </c>
      <c r="C59" s="2" t="n">
        <f aca="false">COUNTIFS('Clean Data'!$L$2:$L$248,A59)</f>
        <v>0</v>
      </c>
      <c r="D59" s="2" t="n">
        <f aca="false">COUNTIFS('Clean Data'!$M$2:$M$248,A59)</f>
        <v>1</v>
      </c>
    </row>
    <row r="60" customFormat="false" ht="15" hidden="false" customHeight="false" outlineLevel="0" collapsed="false">
      <c r="A60" s="33" t="n">
        <v>44981</v>
      </c>
      <c r="B60" s="2" t="n">
        <f aca="false">COUNTIFS('Clean Data'!$L$2:$L$248,"&lt;="&amp;A60,'Clean Data'!$M$2:$M$248,"&gt;"&amp;A60)</f>
        <v>5</v>
      </c>
      <c r="C60" s="2" t="n">
        <f aca="false">COUNTIFS('Clean Data'!$L$2:$L$248,A60)</f>
        <v>0</v>
      </c>
      <c r="D60" s="2" t="n">
        <f aca="false">COUNTIFS('Clean Data'!$M$2:$M$248,A60)</f>
        <v>0</v>
      </c>
    </row>
    <row r="61" customFormat="false" ht="15" hidden="false" customHeight="false" outlineLevel="0" collapsed="false">
      <c r="A61" s="33" t="n">
        <v>44982</v>
      </c>
      <c r="B61" s="2" t="n">
        <f aca="false">COUNTIFS('Clean Data'!$L$2:$L$248,"&lt;="&amp;A61,'Clean Data'!$M$2:$M$248,"&gt;"&amp;A61)</f>
        <v>5</v>
      </c>
      <c r="C61" s="2" t="n">
        <f aca="false">COUNTIFS('Clean Data'!$L$2:$L$248,A61)</f>
        <v>1</v>
      </c>
      <c r="D61" s="2" t="n">
        <f aca="false">COUNTIFS('Clean Data'!$M$2:$M$248,A61)</f>
        <v>1</v>
      </c>
    </row>
    <row r="62" customFormat="false" ht="15" hidden="false" customHeight="false" outlineLevel="0" collapsed="false">
      <c r="A62" s="33" t="n">
        <v>44983</v>
      </c>
      <c r="B62" s="2" t="n">
        <f aca="false">COUNTIFS('Clean Data'!$L$2:$L$248,"&lt;="&amp;A62,'Clean Data'!$M$2:$M$248,"&gt;"&amp;A62)</f>
        <v>5</v>
      </c>
      <c r="C62" s="2" t="n">
        <f aca="false">COUNTIFS('Clean Data'!$L$2:$L$248,A62)</f>
        <v>0</v>
      </c>
      <c r="D62" s="2" t="n">
        <f aca="false">COUNTIFS('Clean Data'!$M$2:$M$248,A62)</f>
        <v>0</v>
      </c>
    </row>
    <row r="63" customFormat="false" ht="15" hidden="false" customHeight="false" outlineLevel="0" collapsed="false">
      <c r="A63" s="33" t="n">
        <v>44984</v>
      </c>
      <c r="B63" s="2" t="n">
        <f aca="false">COUNTIFS('Clean Data'!$L$2:$L$248,"&lt;="&amp;A63,'Clean Data'!$M$2:$M$248,"&gt;"&amp;A63)</f>
        <v>3</v>
      </c>
      <c r="C63" s="2" t="n">
        <f aca="false">COUNTIFS('Clean Data'!$L$2:$L$248,A63)</f>
        <v>0</v>
      </c>
      <c r="D63" s="2" t="n">
        <f aca="false">COUNTIFS('Clean Data'!$M$2:$M$248,A63)</f>
        <v>2</v>
      </c>
    </row>
    <row r="64" customFormat="false" ht="15" hidden="false" customHeight="false" outlineLevel="0" collapsed="false">
      <c r="A64" s="33" t="n">
        <v>44985</v>
      </c>
      <c r="B64" s="2" t="n">
        <f aca="false">COUNTIFS('Clean Data'!$L$2:$L$248,"&lt;="&amp;A64,'Clean Data'!$M$2:$M$248,"&gt;"&amp;A64)</f>
        <v>4</v>
      </c>
      <c r="C64" s="2" t="n">
        <f aca="false">COUNTIFS('Clean Data'!$L$2:$L$248,A64)</f>
        <v>1</v>
      </c>
      <c r="D64" s="2" t="n">
        <f aca="false">COUNTIFS('Clean Data'!$M$2:$M$248,A64)</f>
        <v>0</v>
      </c>
    </row>
    <row r="65" customFormat="false" ht="15" hidden="false" customHeight="false" outlineLevel="0" collapsed="false">
      <c r="A65" s="33" t="n">
        <v>44986</v>
      </c>
      <c r="B65" s="2" t="n">
        <f aca="false">COUNTIFS('Clean Data'!$L$2:$L$248,"&lt;="&amp;A65,'Clean Data'!$M$2:$M$248,"&gt;"&amp;A65)</f>
        <v>4</v>
      </c>
      <c r="C65" s="2" t="n">
        <f aca="false">COUNTIFS('Clean Data'!$L$2:$L$248,A65)</f>
        <v>0</v>
      </c>
      <c r="D65" s="2" t="n">
        <f aca="false">COUNTIFS('Clean Data'!$M$2:$M$248,A65)</f>
        <v>0</v>
      </c>
    </row>
    <row r="66" customFormat="false" ht="15" hidden="false" customHeight="false" outlineLevel="0" collapsed="false">
      <c r="A66" s="33" t="n">
        <v>44987</v>
      </c>
      <c r="B66" s="2" t="n">
        <f aca="false">COUNTIFS('Clean Data'!$L$2:$L$248,"&lt;="&amp;A66,'Clean Data'!$M$2:$M$248,"&gt;"&amp;A66)</f>
        <v>5</v>
      </c>
      <c r="C66" s="2" t="n">
        <f aca="false">COUNTIFS('Clean Data'!$L$2:$L$248,A66)</f>
        <v>1</v>
      </c>
      <c r="D66" s="2" t="n">
        <f aca="false">COUNTIFS('Clean Data'!$M$2:$M$248,A66)</f>
        <v>0</v>
      </c>
    </row>
    <row r="67" customFormat="false" ht="15" hidden="false" customHeight="false" outlineLevel="0" collapsed="false">
      <c r="A67" s="33" t="n">
        <v>44988</v>
      </c>
      <c r="B67" s="2" t="n">
        <f aca="false">COUNTIFS('Clean Data'!$L$2:$L$248,"&lt;="&amp;A67,'Clean Data'!$M$2:$M$248,"&gt;"&amp;A67)</f>
        <v>5</v>
      </c>
      <c r="C67" s="2" t="n">
        <f aca="false">COUNTIFS('Clean Data'!$L$2:$L$248,A67)</f>
        <v>0</v>
      </c>
      <c r="D67" s="2" t="n">
        <f aca="false">COUNTIFS('Clean Data'!$M$2:$M$248,A67)</f>
        <v>0</v>
      </c>
    </row>
    <row r="68" customFormat="false" ht="15" hidden="false" customHeight="false" outlineLevel="0" collapsed="false">
      <c r="A68" s="33" t="n">
        <v>44989</v>
      </c>
      <c r="B68" s="2" t="n">
        <f aca="false">COUNTIFS('Clean Data'!$L$2:$L$248,"&lt;="&amp;A68,'Clean Data'!$M$2:$M$248,"&gt;"&amp;A68)</f>
        <v>4</v>
      </c>
      <c r="C68" s="2" t="n">
        <f aca="false">COUNTIFS('Clean Data'!$L$2:$L$248,A68)</f>
        <v>0</v>
      </c>
      <c r="D68" s="2" t="n">
        <f aca="false">COUNTIFS('Clean Data'!$M$2:$M$248,A68)</f>
        <v>1</v>
      </c>
    </row>
    <row r="69" customFormat="false" ht="15" hidden="false" customHeight="false" outlineLevel="0" collapsed="false">
      <c r="A69" s="33" t="n">
        <v>44990</v>
      </c>
      <c r="B69" s="2" t="n">
        <f aca="false">COUNTIFS('Clean Data'!$L$2:$L$248,"&lt;="&amp;A69,'Clean Data'!$M$2:$M$248,"&gt;"&amp;A69)</f>
        <v>3</v>
      </c>
      <c r="C69" s="2" t="n">
        <f aca="false">COUNTIFS('Clean Data'!$L$2:$L$248,A69)</f>
        <v>1</v>
      </c>
      <c r="D69" s="2" t="n">
        <f aca="false">COUNTIFS('Clean Data'!$M$2:$M$248,A69)</f>
        <v>2</v>
      </c>
    </row>
    <row r="70" customFormat="false" ht="15" hidden="false" customHeight="false" outlineLevel="0" collapsed="false">
      <c r="A70" s="33" t="n">
        <v>44991</v>
      </c>
      <c r="B70" s="2" t="n">
        <f aca="false">COUNTIFS('Clean Data'!$L$2:$L$248,"&lt;="&amp;A70,'Clean Data'!$M$2:$M$248,"&gt;"&amp;A70)</f>
        <v>4</v>
      </c>
      <c r="C70" s="2" t="n">
        <f aca="false">COUNTIFS('Clean Data'!$L$2:$L$248,A70)</f>
        <v>1</v>
      </c>
      <c r="D70" s="2" t="n">
        <f aca="false">COUNTIFS('Clean Data'!$M$2:$M$248,A70)</f>
        <v>0</v>
      </c>
    </row>
    <row r="71" customFormat="false" ht="15" hidden="false" customHeight="false" outlineLevel="0" collapsed="false">
      <c r="A71" s="33" t="n">
        <v>44992</v>
      </c>
      <c r="B71" s="2" t="n">
        <f aca="false">COUNTIFS('Clean Data'!$L$2:$L$248,"&lt;="&amp;A71,'Clean Data'!$M$2:$M$248,"&gt;"&amp;A71)</f>
        <v>5</v>
      </c>
      <c r="C71" s="2" t="n">
        <f aca="false">COUNTIFS('Clean Data'!$L$2:$L$248,A71)</f>
        <v>1</v>
      </c>
      <c r="D71" s="2" t="n">
        <f aca="false">COUNTIFS('Clean Data'!$M$2:$M$248,A71)</f>
        <v>0</v>
      </c>
    </row>
    <row r="72" customFormat="false" ht="15" hidden="false" customHeight="false" outlineLevel="0" collapsed="false">
      <c r="A72" s="33" t="n">
        <v>44993</v>
      </c>
      <c r="B72" s="2" t="n">
        <f aca="false">COUNTIFS('Clean Data'!$L$2:$L$248,"&lt;="&amp;A72,'Clean Data'!$M$2:$M$248,"&gt;"&amp;A72)</f>
        <v>4</v>
      </c>
      <c r="C72" s="2" t="n">
        <f aca="false">COUNTIFS('Clean Data'!$L$2:$L$248,A72)</f>
        <v>0</v>
      </c>
      <c r="D72" s="2" t="n">
        <f aca="false">COUNTIFS('Clean Data'!$M$2:$M$248,A72)</f>
        <v>1</v>
      </c>
    </row>
    <row r="73" customFormat="false" ht="15" hidden="false" customHeight="false" outlineLevel="0" collapsed="false">
      <c r="A73" s="33" t="n">
        <v>44994</v>
      </c>
      <c r="B73" s="2" t="n">
        <f aca="false">COUNTIFS('Clean Data'!$L$2:$L$248,"&lt;="&amp;A73,'Clean Data'!$M$2:$M$248,"&gt;"&amp;A73)</f>
        <v>5</v>
      </c>
      <c r="C73" s="2" t="n">
        <f aca="false">COUNTIFS('Clean Data'!$L$2:$L$248,A73)</f>
        <v>1</v>
      </c>
      <c r="D73" s="2" t="n">
        <f aca="false">COUNTIFS('Clean Data'!$M$2:$M$248,A73)</f>
        <v>0</v>
      </c>
    </row>
    <row r="74" customFormat="false" ht="15" hidden="false" customHeight="false" outlineLevel="0" collapsed="false">
      <c r="A74" s="33" t="n">
        <v>44995</v>
      </c>
      <c r="B74" s="2" t="n">
        <f aca="false">COUNTIFS('Clean Data'!$L$2:$L$248,"&lt;="&amp;A74,'Clean Data'!$M$2:$M$248,"&gt;"&amp;A74)</f>
        <v>7</v>
      </c>
      <c r="C74" s="2" t="n">
        <f aca="false">COUNTIFS('Clean Data'!$L$2:$L$248,A74)</f>
        <v>2</v>
      </c>
      <c r="D74" s="2" t="n">
        <f aca="false">COUNTIFS('Clean Data'!$M$2:$M$248,A74)</f>
        <v>0</v>
      </c>
    </row>
    <row r="75" customFormat="false" ht="15" hidden="false" customHeight="false" outlineLevel="0" collapsed="false">
      <c r="A75" s="33" t="n">
        <v>44996</v>
      </c>
      <c r="B75" s="2" t="n">
        <f aca="false">COUNTIFS('Clean Data'!$L$2:$L$248,"&lt;="&amp;A75,'Clean Data'!$M$2:$M$248,"&gt;"&amp;A75)</f>
        <v>6</v>
      </c>
      <c r="C75" s="2" t="n">
        <f aca="false">COUNTIFS('Clean Data'!$L$2:$L$248,A75)</f>
        <v>0</v>
      </c>
      <c r="D75" s="2" t="n">
        <f aca="false">COUNTIFS('Clean Data'!$M$2:$M$248,A75)</f>
        <v>1</v>
      </c>
    </row>
    <row r="76" customFormat="false" ht="15" hidden="false" customHeight="false" outlineLevel="0" collapsed="false">
      <c r="A76" s="33" t="n">
        <v>44997</v>
      </c>
      <c r="B76" s="2" t="n">
        <f aca="false">COUNTIFS('Clean Data'!$L$2:$L$248,"&lt;="&amp;A76,'Clean Data'!$M$2:$M$248,"&gt;"&amp;A76)</f>
        <v>5</v>
      </c>
      <c r="C76" s="2" t="n">
        <f aca="false">COUNTIFS('Clean Data'!$L$2:$L$248,A76)</f>
        <v>1</v>
      </c>
      <c r="D76" s="2" t="n">
        <f aca="false">COUNTIFS('Clean Data'!$M$2:$M$248,A76)</f>
        <v>2</v>
      </c>
    </row>
    <row r="77" customFormat="false" ht="15" hidden="false" customHeight="false" outlineLevel="0" collapsed="false">
      <c r="A77" s="33" t="n">
        <v>44998</v>
      </c>
      <c r="B77" s="2" t="n">
        <f aca="false">COUNTIFS('Clean Data'!$L$2:$L$248,"&lt;="&amp;A77,'Clean Data'!$M$2:$M$248,"&gt;"&amp;A77)</f>
        <v>4</v>
      </c>
      <c r="C77" s="2" t="n">
        <f aca="false">COUNTIFS('Clean Data'!$L$2:$L$248,A77)</f>
        <v>0</v>
      </c>
      <c r="D77" s="2" t="n">
        <f aca="false">COUNTIFS('Clean Data'!$M$2:$M$248,A77)</f>
        <v>1</v>
      </c>
    </row>
    <row r="78" customFormat="false" ht="15" hidden="false" customHeight="false" outlineLevel="0" collapsed="false">
      <c r="A78" s="33" t="n">
        <v>44999</v>
      </c>
      <c r="B78" s="2" t="n">
        <f aca="false">COUNTIFS('Clean Data'!$L$2:$L$248,"&lt;="&amp;A78,'Clean Data'!$M$2:$M$248,"&gt;"&amp;A78)</f>
        <v>1</v>
      </c>
      <c r="C78" s="2" t="n">
        <f aca="false">COUNTIFS('Clean Data'!$L$2:$L$248,A78)</f>
        <v>0</v>
      </c>
      <c r="D78" s="2" t="n">
        <f aca="false">COUNTIFS('Clean Data'!$M$2:$M$248,A78)</f>
        <v>3</v>
      </c>
    </row>
    <row r="79" customFormat="false" ht="15" hidden="false" customHeight="false" outlineLevel="0" collapsed="false">
      <c r="A79" s="33" t="n">
        <v>45000</v>
      </c>
      <c r="B79" s="2" t="n">
        <f aca="false">COUNTIFS('Clean Data'!$L$2:$L$248,"&lt;="&amp;A79,'Clean Data'!$M$2:$M$248,"&gt;"&amp;A79)</f>
        <v>2</v>
      </c>
      <c r="C79" s="2" t="n">
        <f aca="false">COUNTIFS('Clean Data'!$L$2:$L$248,A79)</f>
        <v>1</v>
      </c>
      <c r="D79" s="2" t="n">
        <f aca="false">COUNTIFS('Clean Data'!$M$2:$M$248,A79)</f>
        <v>0</v>
      </c>
    </row>
    <row r="80" customFormat="false" ht="15" hidden="false" customHeight="false" outlineLevel="0" collapsed="false">
      <c r="A80" s="33" t="n">
        <v>45001</v>
      </c>
      <c r="B80" s="2" t="n">
        <f aca="false">COUNTIFS('Clean Data'!$L$2:$L$248,"&lt;="&amp;A80,'Clean Data'!$M$2:$M$248,"&gt;"&amp;A80)</f>
        <v>3</v>
      </c>
      <c r="C80" s="2" t="n">
        <f aca="false">COUNTIFS('Clean Data'!$L$2:$L$248,A80)</f>
        <v>1</v>
      </c>
      <c r="D80" s="2" t="n">
        <f aca="false">COUNTIFS('Clean Data'!$M$2:$M$248,A80)</f>
        <v>0</v>
      </c>
    </row>
    <row r="81" customFormat="false" ht="15" hidden="false" customHeight="false" outlineLevel="0" collapsed="false">
      <c r="A81" s="33" t="n">
        <v>45002</v>
      </c>
      <c r="B81" s="2" t="n">
        <f aca="false">COUNTIFS('Clean Data'!$L$2:$L$248,"&lt;="&amp;A81,'Clean Data'!$M$2:$M$248,"&gt;"&amp;A81)</f>
        <v>3</v>
      </c>
      <c r="C81" s="2" t="n">
        <f aca="false">COUNTIFS('Clean Data'!$L$2:$L$248,A81)</f>
        <v>0</v>
      </c>
      <c r="D81" s="2" t="n">
        <f aca="false">COUNTIFS('Clean Data'!$M$2:$M$248,A81)</f>
        <v>0</v>
      </c>
    </row>
    <row r="82" customFormat="false" ht="15" hidden="false" customHeight="false" outlineLevel="0" collapsed="false">
      <c r="A82" s="33" t="n">
        <v>45003</v>
      </c>
      <c r="B82" s="2" t="n">
        <f aca="false">COUNTIFS('Clean Data'!$L$2:$L$248,"&lt;="&amp;A82,'Clean Data'!$M$2:$M$248,"&gt;"&amp;A82)</f>
        <v>2</v>
      </c>
      <c r="C82" s="2" t="n">
        <f aca="false">COUNTIFS('Clean Data'!$L$2:$L$248,A82)</f>
        <v>0</v>
      </c>
      <c r="D82" s="2" t="n">
        <f aca="false">COUNTIFS('Clean Data'!$M$2:$M$248,A82)</f>
        <v>1</v>
      </c>
    </row>
    <row r="83" customFormat="false" ht="15" hidden="false" customHeight="false" outlineLevel="0" collapsed="false">
      <c r="A83" s="33" t="n">
        <v>45004</v>
      </c>
      <c r="B83" s="2" t="n">
        <f aca="false">COUNTIFS('Clean Data'!$L$2:$L$248,"&lt;="&amp;A83,'Clean Data'!$M$2:$M$248,"&gt;"&amp;A83)</f>
        <v>1</v>
      </c>
      <c r="C83" s="2" t="n">
        <f aca="false">COUNTIFS('Clean Data'!$L$2:$L$248,A83)</f>
        <v>0</v>
      </c>
      <c r="D83" s="2" t="n">
        <f aca="false">COUNTIFS('Clean Data'!$M$2:$M$248,A83)</f>
        <v>1</v>
      </c>
    </row>
    <row r="84" customFormat="false" ht="15" hidden="false" customHeight="false" outlineLevel="0" collapsed="false">
      <c r="A84" s="33" t="n">
        <v>45005</v>
      </c>
      <c r="B84" s="2" t="n">
        <f aca="false">COUNTIFS('Clean Data'!$L$2:$L$248,"&lt;="&amp;A84,'Clean Data'!$M$2:$M$248,"&gt;"&amp;A84)</f>
        <v>3</v>
      </c>
      <c r="C84" s="2" t="n">
        <f aca="false">COUNTIFS('Clean Data'!$L$2:$L$248,A84)</f>
        <v>2</v>
      </c>
      <c r="D84" s="2" t="n">
        <f aca="false">COUNTIFS('Clean Data'!$M$2:$M$248,A84)</f>
        <v>0</v>
      </c>
    </row>
    <row r="85" customFormat="false" ht="15" hidden="false" customHeight="false" outlineLevel="0" collapsed="false">
      <c r="A85" s="33" t="n">
        <v>45006</v>
      </c>
      <c r="B85" s="2" t="n">
        <f aca="false">COUNTIFS('Clean Data'!$L$2:$L$248,"&lt;="&amp;A85,'Clean Data'!$M$2:$M$248,"&gt;"&amp;A85)</f>
        <v>3</v>
      </c>
      <c r="C85" s="2" t="n">
        <f aca="false">COUNTIFS('Clean Data'!$L$2:$L$248,A85)</f>
        <v>0</v>
      </c>
      <c r="D85" s="2" t="n">
        <f aca="false">COUNTIFS('Clean Data'!$M$2:$M$248,A85)</f>
        <v>0</v>
      </c>
    </row>
    <row r="86" customFormat="false" ht="15" hidden="false" customHeight="false" outlineLevel="0" collapsed="false">
      <c r="A86" s="33" t="n">
        <v>45007</v>
      </c>
      <c r="B86" s="2" t="n">
        <f aca="false">COUNTIFS('Clean Data'!$L$2:$L$248,"&lt;="&amp;A86,'Clean Data'!$M$2:$M$248,"&gt;"&amp;A86)</f>
        <v>5</v>
      </c>
      <c r="C86" s="2" t="n">
        <f aca="false">COUNTIFS('Clean Data'!$L$2:$L$248,A86)</f>
        <v>3</v>
      </c>
      <c r="D86" s="2" t="n">
        <f aca="false">COUNTIFS('Clean Data'!$M$2:$M$248,A86)</f>
        <v>1</v>
      </c>
    </row>
    <row r="87" customFormat="false" ht="15" hidden="false" customHeight="false" outlineLevel="0" collapsed="false">
      <c r="A87" s="33" t="n">
        <v>45008</v>
      </c>
      <c r="B87" s="2" t="n">
        <f aca="false">COUNTIFS('Clean Data'!$L$2:$L$248,"&lt;="&amp;A87,'Clean Data'!$M$2:$M$248,"&gt;"&amp;A87)</f>
        <v>3</v>
      </c>
      <c r="C87" s="2" t="n">
        <f aca="false">COUNTIFS('Clean Data'!$L$2:$L$248,A87)</f>
        <v>0</v>
      </c>
      <c r="D87" s="2" t="n">
        <f aca="false">COUNTIFS('Clean Data'!$M$2:$M$248,A87)</f>
        <v>2</v>
      </c>
    </row>
    <row r="88" customFormat="false" ht="15" hidden="false" customHeight="false" outlineLevel="0" collapsed="false">
      <c r="A88" s="33" t="n">
        <v>45009</v>
      </c>
      <c r="B88" s="2" t="n">
        <f aca="false">COUNTIFS('Clean Data'!$L$2:$L$248,"&lt;="&amp;A88,'Clean Data'!$M$2:$M$248,"&gt;"&amp;A88)</f>
        <v>2</v>
      </c>
      <c r="C88" s="2" t="n">
        <f aca="false">COUNTIFS('Clean Data'!$L$2:$L$248,A88)</f>
        <v>0</v>
      </c>
      <c r="D88" s="2" t="n">
        <f aca="false">COUNTIFS('Clean Data'!$M$2:$M$248,A88)</f>
        <v>1</v>
      </c>
    </row>
    <row r="89" customFormat="false" ht="15" hidden="false" customHeight="false" outlineLevel="0" collapsed="false">
      <c r="A89" s="33" t="n">
        <v>45010</v>
      </c>
      <c r="B89" s="2" t="n">
        <f aca="false">COUNTIFS('Clean Data'!$L$2:$L$248,"&lt;="&amp;A89,'Clean Data'!$M$2:$M$248,"&gt;"&amp;A89)</f>
        <v>1</v>
      </c>
      <c r="C89" s="2" t="n">
        <f aca="false">COUNTIFS('Clean Data'!$L$2:$L$248,A89)</f>
        <v>0</v>
      </c>
      <c r="D89" s="2" t="n">
        <f aca="false">COUNTIFS('Clean Data'!$M$2:$M$248,A89)</f>
        <v>1</v>
      </c>
    </row>
    <row r="90" customFormat="false" ht="15" hidden="false" customHeight="false" outlineLevel="0" collapsed="false">
      <c r="A90" s="33" t="n">
        <v>45011</v>
      </c>
      <c r="B90" s="2" t="n">
        <f aca="false">COUNTIFS('Clean Data'!$L$2:$L$248,"&lt;="&amp;A90,'Clean Data'!$M$2:$M$248,"&gt;"&amp;A90)</f>
        <v>4</v>
      </c>
      <c r="C90" s="2" t="n">
        <f aca="false">COUNTIFS('Clean Data'!$L$2:$L$248,A90)</f>
        <v>3</v>
      </c>
      <c r="D90" s="2" t="n">
        <f aca="false">COUNTIFS('Clean Data'!$M$2:$M$248,A90)</f>
        <v>0</v>
      </c>
    </row>
    <row r="91" customFormat="false" ht="15" hidden="false" customHeight="false" outlineLevel="0" collapsed="false">
      <c r="A91" s="33" t="n">
        <v>45012</v>
      </c>
      <c r="B91" s="2" t="n">
        <f aca="false">COUNTIFS('Clean Data'!$L$2:$L$248,"&lt;="&amp;A91,'Clean Data'!$M$2:$M$248,"&gt;"&amp;A91)</f>
        <v>4</v>
      </c>
      <c r="C91" s="2" t="n">
        <f aca="false">COUNTIFS('Clean Data'!$L$2:$L$248,A91)</f>
        <v>0</v>
      </c>
      <c r="D91" s="2" t="n">
        <f aca="false">COUNTIFS('Clean Data'!$M$2:$M$248,A91)</f>
        <v>0</v>
      </c>
    </row>
    <row r="92" customFormat="false" ht="15" hidden="false" customHeight="false" outlineLevel="0" collapsed="false">
      <c r="A92" s="33" t="n">
        <v>45013</v>
      </c>
      <c r="B92" s="2" t="n">
        <f aca="false">COUNTIFS('Clean Data'!$L$2:$L$248,"&lt;="&amp;A92,'Clean Data'!$M$2:$M$248,"&gt;"&amp;A92)</f>
        <v>5</v>
      </c>
      <c r="C92" s="2" t="n">
        <f aca="false">COUNTIFS('Clean Data'!$L$2:$L$248,A92)</f>
        <v>1</v>
      </c>
      <c r="D92" s="2" t="n">
        <f aca="false">COUNTIFS('Clean Data'!$M$2:$M$248,A92)</f>
        <v>0</v>
      </c>
    </row>
    <row r="93" customFormat="false" ht="15" hidden="false" customHeight="false" outlineLevel="0" collapsed="false">
      <c r="A93" s="33" t="n">
        <v>45014</v>
      </c>
      <c r="B93" s="2" t="n">
        <f aca="false">COUNTIFS('Clean Data'!$L$2:$L$248,"&lt;="&amp;A93,'Clean Data'!$M$2:$M$248,"&gt;"&amp;A93)</f>
        <v>4</v>
      </c>
      <c r="C93" s="2" t="n">
        <f aca="false">COUNTIFS('Clean Data'!$L$2:$L$248,A93)</f>
        <v>0</v>
      </c>
      <c r="D93" s="2" t="n">
        <f aca="false">COUNTIFS('Clean Data'!$M$2:$M$248,A93)</f>
        <v>1</v>
      </c>
    </row>
    <row r="94" customFormat="false" ht="15" hidden="false" customHeight="false" outlineLevel="0" collapsed="false">
      <c r="A94" s="33" t="n">
        <v>45015</v>
      </c>
      <c r="B94" s="2" t="n">
        <f aca="false">COUNTIFS('Clean Data'!$L$2:$L$248,"&lt;="&amp;A94,'Clean Data'!$M$2:$M$248,"&gt;"&amp;A94)</f>
        <v>3</v>
      </c>
      <c r="C94" s="2" t="n">
        <f aca="false">COUNTIFS('Clean Data'!$L$2:$L$248,A94)</f>
        <v>0</v>
      </c>
      <c r="D94" s="2" t="n">
        <f aca="false">COUNTIFS('Clean Data'!$M$2:$M$248,A94)</f>
        <v>1</v>
      </c>
    </row>
    <row r="95" customFormat="false" ht="15" hidden="false" customHeight="false" outlineLevel="0" collapsed="false">
      <c r="A95" s="33" t="n">
        <v>45016</v>
      </c>
      <c r="B95" s="2" t="n">
        <f aca="false">COUNTIFS('Clean Data'!$L$2:$L$248,"&lt;="&amp;A95,'Clean Data'!$M$2:$M$248,"&gt;"&amp;A95)</f>
        <v>3</v>
      </c>
      <c r="C95" s="2" t="n">
        <f aca="false">COUNTIFS('Clean Data'!$L$2:$L$248,A95)</f>
        <v>0</v>
      </c>
      <c r="D95" s="2" t="n">
        <f aca="false">COUNTIFS('Clean Data'!$M$2:$M$248,A95)</f>
        <v>0</v>
      </c>
    </row>
    <row r="96" customFormat="false" ht="15" hidden="false" customHeight="false" outlineLevel="0" collapsed="false">
      <c r="A96" s="33" t="n">
        <v>45017</v>
      </c>
      <c r="B96" s="2" t="n">
        <f aca="false">COUNTIFS('Clean Data'!$L$2:$L$248,"&lt;="&amp;A96,'Clean Data'!$M$2:$M$248,"&gt;"&amp;A96)</f>
        <v>3</v>
      </c>
      <c r="C96" s="2" t="n">
        <f aca="false">COUNTIFS('Clean Data'!$L$2:$L$248,A96)</f>
        <v>0</v>
      </c>
      <c r="D96" s="2" t="n">
        <f aca="false">COUNTIFS('Clean Data'!$M$2:$M$248,A96)</f>
        <v>0</v>
      </c>
    </row>
    <row r="97" customFormat="false" ht="15" hidden="false" customHeight="false" outlineLevel="0" collapsed="false">
      <c r="A97" s="33" t="n">
        <v>45018</v>
      </c>
      <c r="B97" s="2" t="n">
        <f aca="false">COUNTIFS('Clean Data'!$L$2:$L$248,"&lt;="&amp;A97,'Clean Data'!$M$2:$M$248,"&gt;"&amp;A97)</f>
        <v>4</v>
      </c>
      <c r="C97" s="2" t="n">
        <f aca="false">COUNTIFS('Clean Data'!$L$2:$L$248,A97)</f>
        <v>2</v>
      </c>
      <c r="D97" s="2" t="n">
        <f aca="false">COUNTIFS('Clean Data'!$M$2:$M$248,A97)</f>
        <v>1</v>
      </c>
    </row>
    <row r="98" customFormat="false" ht="15" hidden="false" customHeight="false" outlineLevel="0" collapsed="false">
      <c r="A98" s="33" t="n">
        <v>45019</v>
      </c>
      <c r="B98" s="2" t="n">
        <f aca="false">COUNTIFS('Clean Data'!$L$2:$L$248,"&lt;="&amp;A98,'Clean Data'!$M$2:$M$248,"&gt;"&amp;A98)</f>
        <v>5</v>
      </c>
      <c r="C98" s="2" t="n">
        <f aca="false">COUNTIFS('Clean Data'!$L$2:$L$248,A98)</f>
        <v>1</v>
      </c>
      <c r="D98" s="2" t="n">
        <f aca="false">COUNTIFS('Clean Data'!$M$2:$M$248,A98)</f>
        <v>0</v>
      </c>
    </row>
    <row r="99" customFormat="false" ht="15" hidden="false" customHeight="false" outlineLevel="0" collapsed="false">
      <c r="A99" s="33" t="n">
        <v>45020</v>
      </c>
      <c r="B99" s="2" t="n">
        <f aca="false">COUNTIFS('Clean Data'!$L$2:$L$248,"&lt;="&amp;A99,'Clean Data'!$M$2:$M$248,"&gt;"&amp;A99)</f>
        <v>5</v>
      </c>
      <c r="C99" s="2" t="n">
        <f aca="false">COUNTIFS('Clean Data'!$L$2:$L$248,A99)</f>
        <v>0</v>
      </c>
      <c r="D99" s="2" t="n">
        <f aca="false">COUNTIFS('Clean Data'!$M$2:$M$248,A99)</f>
        <v>0</v>
      </c>
    </row>
    <row r="100" customFormat="false" ht="15" hidden="false" customHeight="false" outlineLevel="0" collapsed="false">
      <c r="A100" s="33" t="n">
        <v>45021</v>
      </c>
      <c r="B100" s="2" t="n">
        <f aca="false">COUNTIFS('Clean Data'!$L$2:$L$248,"&lt;="&amp;A100,'Clean Data'!$M$2:$M$248,"&gt;"&amp;A100)</f>
        <v>7</v>
      </c>
      <c r="C100" s="2" t="n">
        <f aca="false">COUNTIFS('Clean Data'!$L$2:$L$248,A100)</f>
        <v>2</v>
      </c>
      <c r="D100" s="2" t="n">
        <f aca="false">COUNTIFS('Clean Data'!$M$2:$M$248,A100)</f>
        <v>0</v>
      </c>
    </row>
    <row r="101" customFormat="false" ht="15" hidden="false" customHeight="false" outlineLevel="0" collapsed="false">
      <c r="A101" s="33" t="n">
        <v>45022</v>
      </c>
      <c r="B101" s="2" t="n">
        <f aca="false">COUNTIFS('Clean Data'!$L$2:$L$248,"&lt;="&amp;A101,'Clean Data'!$M$2:$M$248,"&gt;"&amp;A101)</f>
        <v>6</v>
      </c>
      <c r="C101" s="2" t="n">
        <f aca="false">COUNTIFS('Clean Data'!$L$2:$L$248,A101)</f>
        <v>0</v>
      </c>
      <c r="D101" s="2" t="n">
        <f aca="false">COUNTIFS('Clean Data'!$M$2:$M$248,A101)</f>
        <v>1</v>
      </c>
    </row>
    <row r="102" customFormat="false" ht="15" hidden="false" customHeight="false" outlineLevel="0" collapsed="false">
      <c r="A102" s="33" t="n">
        <v>45023</v>
      </c>
      <c r="B102" s="2" t="n">
        <f aca="false">COUNTIFS('Clean Data'!$L$2:$L$248,"&lt;="&amp;A102,'Clean Data'!$M$2:$M$248,"&gt;"&amp;A102)</f>
        <v>6</v>
      </c>
      <c r="C102" s="2" t="n">
        <f aca="false">COUNTIFS('Clean Data'!$L$2:$L$248,A102)</f>
        <v>0</v>
      </c>
      <c r="D102" s="2" t="n">
        <f aca="false">COUNTIFS('Clean Data'!$M$2:$M$248,A102)</f>
        <v>0</v>
      </c>
    </row>
    <row r="103" customFormat="false" ht="15" hidden="false" customHeight="false" outlineLevel="0" collapsed="false">
      <c r="A103" s="33" t="n">
        <v>45024</v>
      </c>
      <c r="B103" s="2" t="n">
        <f aca="false">COUNTIFS('Clean Data'!$L$2:$L$248,"&lt;="&amp;A103,'Clean Data'!$M$2:$M$248,"&gt;"&amp;A103)</f>
        <v>7</v>
      </c>
      <c r="C103" s="2" t="n">
        <f aca="false">COUNTIFS('Clean Data'!$L$2:$L$248,A103)</f>
        <v>1</v>
      </c>
      <c r="D103" s="2" t="n">
        <f aca="false">COUNTIFS('Clean Data'!$M$2:$M$248,A103)</f>
        <v>0</v>
      </c>
    </row>
    <row r="104" customFormat="false" ht="15" hidden="false" customHeight="false" outlineLevel="0" collapsed="false">
      <c r="A104" s="33" t="n">
        <v>45025</v>
      </c>
      <c r="B104" s="2" t="n">
        <f aca="false">COUNTIFS('Clean Data'!$L$2:$L$248,"&lt;="&amp;A104,'Clean Data'!$M$2:$M$248,"&gt;"&amp;A104)</f>
        <v>7</v>
      </c>
      <c r="C104" s="2" t="n">
        <f aca="false">COUNTIFS('Clean Data'!$L$2:$L$248,A104)</f>
        <v>1</v>
      </c>
      <c r="D104" s="2" t="n">
        <f aca="false">COUNTIFS('Clean Data'!$M$2:$M$248,A104)</f>
        <v>1</v>
      </c>
    </row>
    <row r="105" customFormat="false" ht="15" hidden="false" customHeight="false" outlineLevel="0" collapsed="false">
      <c r="A105" s="33" t="n">
        <v>45026</v>
      </c>
      <c r="B105" s="2" t="n">
        <f aca="false">COUNTIFS('Clean Data'!$L$2:$L$248,"&lt;="&amp;A105,'Clean Data'!$M$2:$M$248,"&gt;"&amp;A105)</f>
        <v>7</v>
      </c>
      <c r="C105" s="2" t="n">
        <f aca="false">COUNTIFS('Clean Data'!$L$2:$L$248,A105)</f>
        <v>0</v>
      </c>
      <c r="D105" s="2" t="n">
        <f aca="false">COUNTIFS('Clean Data'!$M$2:$M$248,A105)</f>
        <v>0</v>
      </c>
    </row>
    <row r="106" customFormat="false" ht="15" hidden="false" customHeight="false" outlineLevel="0" collapsed="false">
      <c r="A106" s="33" t="n">
        <v>45027</v>
      </c>
      <c r="B106" s="2" t="n">
        <f aca="false">COUNTIFS('Clean Data'!$L$2:$L$248,"&lt;="&amp;A106,'Clean Data'!$M$2:$M$248,"&gt;"&amp;A106)</f>
        <v>7</v>
      </c>
      <c r="C106" s="2" t="n">
        <f aca="false">COUNTIFS('Clean Data'!$L$2:$L$248,A106)</f>
        <v>1</v>
      </c>
      <c r="D106" s="2" t="n">
        <f aca="false">COUNTIFS('Clean Data'!$M$2:$M$248,A106)</f>
        <v>1</v>
      </c>
    </row>
    <row r="107" customFormat="false" ht="15" hidden="false" customHeight="false" outlineLevel="0" collapsed="false">
      <c r="A107" s="33" t="n">
        <v>45028</v>
      </c>
      <c r="B107" s="2" t="n">
        <f aca="false">COUNTIFS('Clean Data'!$L$2:$L$248,"&lt;="&amp;A107,'Clean Data'!$M$2:$M$248,"&gt;"&amp;A107)</f>
        <v>8</v>
      </c>
      <c r="C107" s="2" t="n">
        <f aca="false">COUNTIFS('Clean Data'!$L$2:$L$248,A107)</f>
        <v>2</v>
      </c>
      <c r="D107" s="2" t="n">
        <f aca="false">COUNTIFS('Clean Data'!$M$2:$M$248,A107)</f>
        <v>1</v>
      </c>
    </row>
    <row r="108" customFormat="false" ht="15" hidden="false" customHeight="false" outlineLevel="0" collapsed="false">
      <c r="A108" s="33" t="n">
        <v>45029</v>
      </c>
      <c r="B108" s="2" t="n">
        <f aca="false">COUNTIFS('Clean Data'!$L$2:$L$248,"&lt;="&amp;A108,'Clean Data'!$M$2:$M$248,"&gt;"&amp;A108)</f>
        <v>8</v>
      </c>
      <c r="C108" s="2" t="n">
        <f aca="false">COUNTIFS('Clean Data'!$L$2:$L$248,A108)</f>
        <v>1</v>
      </c>
      <c r="D108" s="2" t="n">
        <f aca="false">COUNTIFS('Clean Data'!$M$2:$M$248,A108)</f>
        <v>1</v>
      </c>
    </row>
    <row r="109" customFormat="false" ht="15" hidden="false" customHeight="false" outlineLevel="0" collapsed="false">
      <c r="A109" s="33" t="n">
        <v>45030</v>
      </c>
      <c r="B109" s="2" t="n">
        <f aca="false">COUNTIFS('Clean Data'!$L$2:$L$248,"&lt;="&amp;A109,'Clean Data'!$M$2:$M$248,"&gt;"&amp;A109)</f>
        <v>7</v>
      </c>
      <c r="C109" s="2" t="n">
        <f aca="false">COUNTIFS('Clean Data'!$L$2:$L$248,A109)</f>
        <v>1</v>
      </c>
      <c r="D109" s="2" t="n">
        <f aca="false">COUNTIFS('Clean Data'!$M$2:$M$248,A109)</f>
        <v>2</v>
      </c>
    </row>
    <row r="110" customFormat="false" ht="15" hidden="false" customHeight="false" outlineLevel="0" collapsed="false">
      <c r="A110" s="33" t="n">
        <v>45031</v>
      </c>
      <c r="B110" s="2" t="n">
        <f aca="false">COUNTIFS('Clean Data'!$L$2:$L$248,"&lt;="&amp;A110,'Clean Data'!$M$2:$M$248,"&gt;"&amp;A110)</f>
        <v>6</v>
      </c>
      <c r="C110" s="2" t="n">
        <f aca="false">COUNTIFS('Clean Data'!$L$2:$L$248,A110)</f>
        <v>0</v>
      </c>
      <c r="D110" s="2" t="n">
        <f aca="false">COUNTIFS('Clean Data'!$M$2:$M$248,A110)</f>
        <v>1</v>
      </c>
    </row>
    <row r="111" customFormat="false" ht="15" hidden="false" customHeight="false" outlineLevel="0" collapsed="false">
      <c r="A111" s="33" t="n">
        <v>45032</v>
      </c>
      <c r="B111" s="2" t="n">
        <f aca="false">COUNTIFS('Clean Data'!$L$2:$L$248,"&lt;="&amp;A111,'Clean Data'!$M$2:$M$248,"&gt;"&amp;A111)</f>
        <v>6</v>
      </c>
      <c r="C111" s="2" t="n">
        <f aca="false">COUNTIFS('Clean Data'!$L$2:$L$248,A111)</f>
        <v>0</v>
      </c>
      <c r="D111" s="2" t="n">
        <f aca="false">COUNTIFS('Clean Data'!$M$2:$M$248,A111)</f>
        <v>0</v>
      </c>
    </row>
    <row r="112" customFormat="false" ht="15" hidden="false" customHeight="false" outlineLevel="0" collapsed="false">
      <c r="A112" s="33" t="n">
        <v>45033</v>
      </c>
      <c r="B112" s="2" t="n">
        <f aca="false">COUNTIFS('Clean Data'!$L$2:$L$248,"&lt;="&amp;A112,'Clean Data'!$M$2:$M$248,"&gt;"&amp;A112)</f>
        <v>3</v>
      </c>
      <c r="C112" s="2" t="n">
        <f aca="false">COUNTIFS('Clean Data'!$L$2:$L$248,A112)</f>
        <v>0</v>
      </c>
      <c r="D112" s="2" t="n">
        <f aca="false">COUNTIFS('Clean Data'!$M$2:$M$248,A112)</f>
        <v>3</v>
      </c>
    </row>
    <row r="113" customFormat="false" ht="15" hidden="false" customHeight="false" outlineLevel="0" collapsed="false">
      <c r="A113" s="33" t="n">
        <v>45034</v>
      </c>
      <c r="B113" s="2" t="n">
        <f aca="false">COUNTIFS('Clean Data'!$L$2:$L$248,"&lt;="&amp;A113,'Clean Data'!$M$2:$M$248,"&gt;"&amp;A113)</f>
        <v>4</v>
      </c>
      <c r="C113" s="2" t="n">
        <f aca="false">COUNTIFS('Clean Data'!$L$2:$L$248,A113)</f>
        <v>1</v>
      </c>
      <c r="D113" s="2" t="n">
        <f aca="false">COUNTIFS('Clean Data'!$M$2:$M$248,A113)</f>
        <v>0</v>
      </c>
    </row>
    <row r="114" customFormat="false" ht="15" hidden="false" customHeight="false" outlineLevel="0" collapsed="false">
      <c r="A114" s="33" t="n">
        <v>45035</v>
      </c>
      <c r="B114" s="2" t="n">
        <f aca="false">COUNTIFS('Clean Data'!$L$2:$L$248,"&lt;="&amp;A114,'Clean Data'!$M$2:$M$248,"&gt;"&amp;A114)</f>
        <v>4</v>
      </c>
      <c r="C114" s="2" t="n">
        <f aca="false">COUNTIFS('Clean Data'!$L$2:$L$248,A114)</f>
        <v>0</v>
      </c>
      <c r="D114" s="2" t="n">
        <f aca="false">COUNTIFS('Clean Data'!$M$2:$M$248,A114)</f>
        <v>0</v>
      </c>
    </row>
    <row r="115" customFormat="false" ht="15" hidden="false" customHeight="false" outlineLevel="0" collapsed="false">
      <c r="A115" s="33" t="n">
        <v>45036</v>
      </c>
      <c r="B115" s="2" t="n">
        <f aca="false">COUNTIFS('Clean Data'!$L$2:$L$248,"&lt;="&amp;A115,'Clean Data'!$M$2:$M$248,"&gt;"&amp;A115)</f>
        <v>4</v>
      </c>
      <c r="C115" s="2" t="n">
        <f aca="false">COUNTIFS('Clean Data'!$L$2:$L$248,A115)</f>
        <v>0</v>
      </c>
      <c r="D115" s="2" t="n">
        <f aca="false">COUNTIFS('Clean Data'!$M$2:$M$248,A115)</f>
        <v>0</v>
      </c>
    </row>
    <row r="116" customFormat="false" ht="15" hidden="false" customHeight="false" outlineLevel="0" collapsed="false">
      <c r="A116" s="33" t="n">
        <v>45037</v>
      </c>
      <c r="B116" s="2" t="n">
        <f aca="false">COUNTIFS('Clean Data'!$L$2:$L$248,"&lt;="&amp;A116,'Clean Data'!$M$2:$M$248,"&gt;"&amp;A116)</f>
        <v>4</v>
      </c>
      <c r="C116" s="2" t="n">
        <f aca="false">COUNTIFS('Clean Data'!$L$2:$L$248,A116)</f>
        <v>0</v>
      </c>
      <c r="D116" s="2" t="n">
        <f aca="false">COUNTIFS('Clean Data'!$M$2:$M$248,A116)</f>
        <v>0</v>
      </c>
    </row>
    <row r="117" customFormat="false" ht="15" hidden="false" customHeight="false" outlineLevel="0" collapsed="false">
      <c r="A117" s="33" t="n">
        <v>45038</v>
      </c>
      <c r="B117" s="2" t="n">
        <f aca="false">COUNTIFS('Clean Data'!$L$2:$L$248,"&lt;="&amp;A117,'Clean Data'!$M$2:$M$248,"&gt;"&amp;A117)</f>
        <v>4</v>
      </c>
      <c r="C117" s="2" t="n">
        <f aca="false">COUNTIFS('Clean Data'!$L$2:$L$248,A117)</f>
        <v>1</v>
      </c>
      <c r="D117" s="2" t="n">
        <f aca="false">COUNTIFS('Clean Data'!$M$2:$M$248,A117)</f>
        <v>1</v>
      </c>
    </row>
    <row r="118" customFormat="false" ht="15" hidden="false" customHeight="false" outlineLevel="0" collapsed="false">
      <c r="A118" s="33" t="n">
        <v>45039</v>
      </c>
      <c r="B118" s="2" t="n">
        <f aca="false">COUNTIFS('Clean Data'!$L$2:$L$248,"&lt;="&amp;A118,'Clean Data'!$M$2:$M$248,"&gt;"&amp;A118)</f>
        <v>3</v>
      </c>
      <c r="C118" s="2" t="n">
        <f aca="false">COUNTIFS('Clean Data'!$L$2:$L$248,A118)</f>
        <v>0</v>
      </c>
      <c r="D118" s="2" t="n">
        <f aca="false">COUNTIFS('Clean Data'!$M$2:$M$248,A118)</f>
        <v>1</v>
      </c>
    </row>
    <row r="119" customFormat="false" ht="15" hidden="false" customHeight="false" outlineLevel="0" collapsed="false">
      <c r="A119" s="33" t="n">
        <v>45040</v>
      </c>
      <c r="B119" s="2" t="n">
        <f aca="false">COUNTIFS('Clean Data'!$L$2:$L$248,"&lt;="&amp;A119,'Clean Data'!$M$2:$M$248,"&gt;"&amp;A119)</f>
        <v>3</v>
      </c>
      <c r="C119" s="2" t="n">
        <f aca="false">COUNTIFS('Clean Data'!$L$2:$L$248,A119)</f>
        <v>0</v>
      </c>
      <c r="D119" s="2" t="n">
        <f aca="false">COUNTIFS('Clean Data'!$M$2:$M$248,A119)</f>
        <v>0</v>
      </c>
    </row>
    <row r="120" customFormat="false" ht="15" hidden="false" customHeight="false" outlineLevel="0" collapsed="false">
      <c r="A120" s="33" t="n">
        <v>45041</v>
      </c>
      <c r="B120" s="2" t="n">
        <f aca="false">COUNTIFS('Clean Data'!$L$2:$L$248,"&lt;="&amp;A120,'Clean Data'!$M$2:$M$248,"&gt;"&amp;A120)</f>
        <v>2</v>
      </c>
      <c r="C120" s="2" t="n">
        <f aca="false">COUNTIFS('Clean Data'!$L$2:$L$248,A120)</f>
        <v>1</v>
      </c>
      <c r="D120" s="2" t="n">
        <f aca="false">COUNTIFS('Clean Data'!$M$2:$M$248,A120)</f>
        <v>2</v>
      </c>
    </row>
    <row r="121" customFormat="false" ht="15" hidden="false" customHeight="false" outlineLevel="0" collapsed="false">
      <c r="A121" s="33" t="n">
        <v>45042</v>
      </c>
      <c r="B121" s="2" t="n">
        <f aca="false">COUNTIFS('Clean Data'!$L$2:$L$248,"&lt;="&amp;A121,'Clean Data'!$M$2:$M$248,"&gt;"&amp;A121)</f>
        <v>3</v>
      </c>
      <c r="C121" s="2" t="n">
        <f aca="false">COUNTIFS('Clean Data'!$L$2:$L$248,A121)</f>
        <v>1</v>
      </c>
      <c r="D121" s="2" t="n">
        <f aca="false">COUNTIFS('Clean Data'!$M$2:$M$248,A121)</f>
        <v>0</v>
      </c>
    </row>
    <row r="122" customFormat="false" ht="15" hidden="false" customHeight="false" outlineLevel="0" collapsed="false">
      <c r="A122" s="33" t="n">
        <v>45043</v>
      </c>
      <c r="B122" s="2" t="n">
        <f aca="false">COUNTIFS('Clean Data'!$L$2:$L$248,"&lt;="&amp;A122,'Clean Data'!$M$2:$M$248,"&gt;"&amp;A122)</f>
        <v>3</v>
      </c>
      <c r="C122" s="2" t="n">
        <f aca="false">COUNTIFS('Clean Data'!$L$2:$L$248,A122)</f>
        <v>1</v>
      </c>
      <c r="D122" s="2" t="n">
        <f aca="false">COUNTIFS('Clean Data'!$M$2:$M$248,A122)</f>
        <v>1</v>
      </c>
    </row>
    <row r="123" customFormat="false" ht="15" hidden="false" customHeight="false" outlineLevel="0" collapsed="false">
      <c r="A123" s="33" t="n">
        <v>45044</v>
      </c>
      <c r="B123" s="2" t="n">
        <f aca="false">COUNTIFS('Clean Data'!$L$2:$L$248,"&lt;="&amp;A123,'Clean Data'!$M$2:$M$248,"&gt;"&amp;A123)</f>
        <v>2</v>
      </c>
      <c r="C123" s="2" t="n">
        <f aca="false">COUNTIFS('Clean Data'!$L$2:$L$248,A123)</f>
        <v>0</v>
      </c>
      <c r="D123" s="2" t="n">
        <f aca="false">COUNTIFS('Clean Data'!$M$2:$M$248,A123)</f>
        <v>1</v>
      </c>
    </row>
    <row r="124" customFormat="false" ht="15" hidden="false" customHeight="false" outlineLevel="0" collapsed="false">
      <c r="A124" s="33" t="n">
        <v>45045</v>
      </c>
      <c r="B124" s="2" t="n">
        <f aca="false">COUNTIFS('Clean Data'!$L$2:$L$248,"&lt;="&amp;A124,'Clean Data'!$M$2:$M$248,"&gt;"&amp;A124)</f>
        <v>2</v>
      </c>
      <c r="C124" s="2" t="n">
        <f aca="false">COUNTIFS('Clean Data'!$L$2:$L$248,A124)</f>
        <v>0</v>
      </c>
      <c r="D124" s="2" t="n">
        <f aca="false">COUNTIFS('Clean Data'!$M$2:$M$248,A124)</f>
        <v>0</v>
      </c>
    </row>
    <row r="125" customFormat="false" ht="15" hidden="false" customHeight="false" outlineLevel="0" collapsed="false">
      <c r="A125" s="33" t="n">
        <v>45046</v>
      </c>
      <c r="B125" s="2" t="n">
        <f aca="false">COUNTIFS('Clean Data'!$L$2:$L$248,"&lt;="&amp;A125,'Clean Data'!$M$2:$M$248,"&gt;"&amp;A125)</f>
        <v>2</v>
      </c>
      <c r="C125" s="2" t="n">
        <f aca="false">COUNTIFS('Clean Data'!$L$2:$L$248,A125)</f>
        <v>0</v>
      </c>
      <c r="D125" s="2" t="n">
        <f aca="false">COUNTIFS('Clean Data'!$M$2:$M$248,A125)</f>
        <v>0</v>
      </c>
    </row>
    <row r="126" customFormat="false" ht="15" hidden="false" customHeight="false" outlineLevel="0" collapsed="false">
      <c r="A126" s="33" t="n">
        <v>45047</v>
      </c>
      <c r="B126" s="2" t="n">
        <f aca="false">COUNTIFS('Clean Data'!$L$2:$L$248,"&lt;="&amp;A126,'Clean Data'!$M$2:$M$248,"&gt;"&amp;A126)</f>
        <v>2</v>
      </c>
      <c r="C126" s="2" t="n">
        <f aca="false">COUNTIFS('Clean Data'!$L$2:$L$248,A126)</f>
        <v>0</v>
      </c>
      <c r="D126" s="2" t="n">
        <f aca="false">COUNTIFS('Clean Data'!$M$2:$M$248,A126)</f>
        <v>0</v>
      </c>
    </row>
    <row r="127" customFormat="false" ht="15" hidden="false" customHeight="false" outlineLevel="0" collapsed="false">
      <c r="A127" s="33" t="n">
        <v>45048</v>
      </c>
      <c r="B127" s="2" t="n">
        <f aca="false">COUNTIFS('Clean Data'!$L$2:$L$248,"&lt;="&amp;A127,'Clean Data'!$M$2:$M$248,"&gt;"&amp;A127)</f>
        <v>2</v>
      </c>
      <c r="C127" s="2" t="n">
        <f aca="false">COUNTIFS('Clean Data'!$L$2:$L$248,A127)</f>
        <v>1</v>
      </c>
      <c r="D127" s="2" t="n">
        <f aca="false">COUNTIFS('Clean Data'!$M$2:$M$248,A127)</f>
        <v>1</v>
      </c>
    </row>
    <row r="128" customFormat="false" ht="15" hidden="false" customHeight="false" outlineLevel="0" collapsed="false">
      <c r="A128" s="33" t="n">
        <v>45049</v>
      </c>
      <c r="B128" s="2" t="n">
        <f aca="false">COUNTIFS('Clean Data'!$L$2:$L$248,"&lt;="&amp;A128,'Clean Data'!$M$2:$M$248,"&gt;"&amp;A128)</f>
        <v>4</v>
      </c>
      <c r="C128" s="2" t="n">
        <f aca="false">COUNTIFS('Clean Data'!$L$2:$L$248,A128)</f>
        <v>2</v>
      </c>
      <c r="D128" s="2" t="n">
        <f aca="false">COUNTIFS('Clean Data'!$M$2:$M$248,A128)</f>
        <v>0</v>
      </c>
    </row>
    <row r="129" customFormat="false" ht="15" hidden="false" customHeight="false" outlineLevel="0" collapsed="false">
      <c r="A129" s="33" t="n">
        <v>45050</v>
      </c>
      <c r="B129" s="2" t="n">
        <f aca="false">COUNTIFS('Clean Data'!$L$2:$L$248,"&lt;="&amp;A129,'Clean Data'!$M$2:$M$248,"&gt;"&amp;A129)</f>
        <v>4</v>
      </c>
      <c r="C129" s="2" t="n">
        <f aca="false">COUNTIFS('Clean Data'!$L$2:$L$248,A129)</f>
        <v>1</v>
      </c>
      <c r="D129" s="2" t="n">
        <f aca="false">COUNTIFS('Clean Data'!$M$2:$M$248,A129)</f>
        <v>1</v>
      </c>
    </row>
    <row r="130" customFormat="false" ht="15" hidden="false" customHeight="false" outlineLevel="0" collapsed="false">
      <c r="A130" s="33" t="n">
        <v>45051</v>
      </c>
      <c r="B130" s="2" t="n">
        <f aca="false">COUNTIFS('Clean Data'!$L$2:$L$248,"&lt;="&amp;A130,'Clean Data'!$M$2:$M$248,"&gt;"&amp;A130)</f>
        <v>7</v>
      </c>
      <c r="C130" s="2" t="n">
        <f aca="false">COUNTIFS('Clean Data'!$L$2:$L$248,A130)</f>
        <v>3</v>
      </c>
      <c r="D130" s="2" t="n">
        <f aca="false">COUNTIFS('Clean Data'!$M$2:$M$248,A130)</f>
        <v>0</v>
      </c>
    </row>
    <row r="131" customFormat="false" ht="15" hidden="false" customHeight="false" outlineLevel="0" collapsed="false">
      <c r="A131" s="33" t="n">
        <v>45052</v>
      </c>
      <c r="B131" s="2" t="n">
        <f aca="false">COUNTIFS('Clean Data'!$L$2:$L$248,"&lt;="&amp;A131,'Clean Data'!$M$2:$M$248,"&gt;"&amp;A131)</f>
        <v>7</v>
      </c>
      <c r="C131" s="2" t="n">
        <f aca="false">COUNTIFS('Clean Data'!$L$2:$L$248,A131)</f>
        <v>0</v>
      </c>
      <c r="D131" s="2" t="n">
        <f aca="false">COUNTIFS('Clean Data'!$M$2:$M$248,A131)</f>
        <v>0</v>
      </c>
    </row>
    <row r="132" customFormat="false" ht="15" hidden="false" customHeight="false" outlineLevel="0" collapsed="false">
      <c r="A132" s="33" t="n">
        <v>45053</v>
      </c>
      <c r="B132" s="2" t="n">
        <f aca="false">COUNTIFS('Clean Data'!$L$2:$L$248,"&lt;="&amp;A132,'Clean Data'!$M$2:$M$248,"&gt;"&amp;A132)</f>
        <v>8</v>
      </c>
      <c r="C132" s="2" t="n">
        <f aca="false">COUNTIFS('Clean Data'!$L$2:$L$248,A132)</f>
        <v>1</v>
      </c>
      <c r="D132" s="2" t="n">
        <f aca="false">COUNTIFS('Clean Data'!$M$2:$M$248,A132)</f>
        <v>0</v>
      </c>
    </row>
    <row r="133" customFormat="false" ht="15" hidden="false" customHeight="false" outlineLevel="0" collapsed="false">
      <c r="A133" s="33" t="n">
        <v>45054</v>
      </c>
      <c r="B133" s="2" t="n">
        <f aca="false">COUNTIFS('Clean Data'!$L$2:$L$248,"&lt;="&amp;A133,'Clean Data'!$M$2:$M$248,"&gt;"&amp;A133)</f>
        <v>5</v>
      </c>
      <c r="C133" s="2" t="n">
        <f aca="false">COUNTIFS('Clean Data'!$L$2:$L$248,A133)</f>
        <v>0</v>
      </c>
      <c r="D133" s="2" t="n">
        <f aca="false">COUNTIFS('Clean Data'!$M$2:$M$248,A133)</f>
        <v>3</v>
      </c>
    </row>
    <row r="134" customFormat="false" ht="15" hidden="false" customHeight="false" outlineLevel="0" collapsed="false">
      <c r="A134" s="33" t="n">
        <v>45055</v>
      </c>
      <c r="B134" s="2" t="n">
        <f aca="false">COUNTIFS('Clean Data'!$L$2:$L$248,"&lt;="&amp;A134,'Clean Data'!$M$2:$M$248,"&gt;"&amp;A134)</f>
        <v>6</v>
      </c>
      <c r="C134" s="2" t="n">
        <f aca="false">COUNTIFS('Clean Data'!$L$2:$L$248,A134)</f>
        <v>1</v>
      </c>
      <c r="D134" s="2" t="n">
        <f aca="false">COUNTIFS('Clean Data'!$M$2:$M$248,A134)</f>
        <v>0</v>
      </c>
    </row>
    <row r="135" customFormat="false" ht="15" hidden="false" customHeight="false" outlineLevel="0" collapsed="false">
      <c r="A135" s="33" t="n">
        <v>45056</v>
      </c>
      <c r="B135" s="2" t="n">
        <f aca="false">COUNTIFS('Clean Data'!$L$2:$L$248,"&lt;="&amp;A135,'Clean Data'!$M$2:$M$248,"&gt;"&amp;A135)</f>
        <v>8</v>
      </c>
      <c r="C135" s="2" t="n">
        <f aca="false">COUNTIFS('Clean Data'!$L$2:$L$248,A135)</f>
        <v>2</v>
      </c>
      <c r="D135" s="2" t="n">
        <f aca="false">COUNTIFS('Clean Data'!$M$2:$M$248,A135)</f>
        <v>0</v>
      </c>
    </row>
    <row r="136" customFormat="false" ht="15" hidden="false" customHeight="false" outlineLevel="0" collapsed="false">
      <c r="A136" s="33" t="n">
        <v>45057</v>
      </c>
      <c r="B136" s="2" t="n">
        <f aca="false">COUNTIFS('Clean Data'!$L$2:$L$248,"&lt;="&amp;A136,'Clean Data'!$M$2:$M$248,"&gt;"&amp;A136)</f>
        <v>9</v>
      </c>
      <c r="C136" s="2" t="n">
        <f aca="false">COUNTIFS('Clean Data'!$L$2:$L$248,A136)</f>
        <v>2</v>
      </c>
      <c r="D136" s="2" t="n">
        <f aca="false">COUNTIFS('Clean Data'!$M$2:$M$248,A136)</f>
        <v>1</v>
      </c>
    </row>
    <row r="137" customFormat="false" ht="15" hidden="false" customHeight="false" outlineLevel="0" collapsed="false">
      <c r="A137" s="33" t="n">
        <v>45058</v>
      </c>
      <c r="B137" s="2" t="n">
        <f aca="false">COUNTIFS('Clean Data'!$L$2:$L$248,"&lt;="&amp;A137,'Clean Data'!$M$2:$M$248,"&gt;"&amp;A137)</f>
        <v>10</v>
      </c>
      <c r="C137" s="2" t="n">
        <f aca="false">COUNTIFS('Clean Data'!$L$2:$L$248,A137)</f>
        <v>1</v>
      </c>
      <c r="D137" s="2" t="n">
        <f aca="false">COUNTIFS('Clean Data'!$M$2:$M$248,A137)</f>
        <v>0</v>
      </c>
    </row>
    <row r="138" customFormat="false" ht="15" hidden="false" customHeight="false" outlineLevel="0" collapsed="false">
      <c r="A138" s="33" t="n">
        <v>45059</v>
      </c>
      <c r="B138" s="2" t="n">
        <f aca="false">COUNTIFS('Clean Data'!$L$2:$L$248,"&lt;="&amp;A138,'Clean Data'!$M$2:$M$248,"&gt;"&amp;A138)</f>
        <v>10</v>
      </c>
      <c r="C138" s="2" t="n">
        <f aca="false">COUNTIFS('Clean Data'!$L$2:$L$248,A138)</f>
        <v>2</v>
      </c>
      <c r="D138" s="2" t="n">
        <f aca="false">COUNTIFS('Clean Data'!$M$2:$M$248,A138)</f>
        <v>2</v>
      </c>
    </row>
    <row r="139" customFormat="false" ht="15" hidden="false" customHeight="false" outlineLevel="0" collapsed="false">
      <c r="A139" s="33" t="n">
        <v>45060</v>
      </c>
      <c r="B139" s="2" t="n">
        <f aca="false">COUNTIFS('Clean Data'!$L$2:$L$248,"&lt;="&amp;A139,'Clean Data'!$M$2:$M$248,"&gt;"&amp;A139)</f>
        <v>11</v>
      </c>
      <c r="C139" s="2" t="n">
        <f aca="false">COUNTIFS('Clean Data'!$L$2:$L$248,A139)</f>
        <v>2</v>
      </c>
      <c r="D139" s="2" t="n">
        <f aca="false">COUNTIFS('Clean Data'!$M$2:$M$248,A139)</f>
        <v>1</v>
      </c>
    </row>
    <row r="140" customFormat="false" ht="15" hidden="false" customHeight="false" outlineLevel="0" collapsed="false">
      <c r="A140" s="33" t="n">
        <v>45061</v>
      </c>
      <c r="B140" s="2" t="n">
        <f aca="false">COUNTIFS('Clean Data'!$L$2:$L$248,"&lt;="&amp;A140,'Clean Data'!$M$2:$M$248,"&gt;"&amp;A140)</f>
        <v>12</v>
      </c>
      <c r="C140" s="2" t="n">
        <f aca="false">COUNTIFS('Clean Data'!$L$2:$L$248,A140)</f>
        <v>1</v>
      </c>
      <c r="D140" s="2" t="n">
        <f aca="false">COUNTIFS('Clean Data'!$M$2:$M$248,A140)</f>
        <v>0</v>
      </c>
    </row>
    <row r="141" customFormat="false" ht="15" hidden="false" customHeight="false" outlineLevel="0" collapsed="false">
      <c r="A141" s="33" t="n">
        <v>45062</v>
      </c>
      <c r="B141" s="2" t="n">
        <f aca="false">COUNTIFS('Clean Data'!$L$2:$L$248,"&lt;="&amp;A141,'Clean Data'!$M$2:$M$248,"&gt;"&amp;A141)</f>
        <v>13</v>
      </c>
      <c r="C141" s="2" t="n">
        <f aca="false">COUNTIFS('Clean Data'!$L$2:$L$248,A141)</f>
        <v>2</v>
      </c>
      <c r="D141" s="2" t="n">
        <f aca="false">COUNTIFS('Clean Data'!$M$2:$M$248,A141)</f>
        <v>1</v>
      </c>
    </row>
    <row r="142" customFormat="false" ht="15" hidden="false" customHeight="false" outlineLevel="0" collapsed="false">
      <c r="A142" s="33" t="n">
        <v>45063</v>
      </c>
      <c r="B142" s="2" t="n">
        <f aca="false">COUNTIFS('Clean Data'!$L$2:$L$248,"&lt;="&amp;A142,'Clean Data'!$M$2:$M$248,"&gt;"&amp;A142)</f>
        <v>10</v>
      </c>
      <c r="C142" s="2" t="n">
        <f aca="false">COUNTIFS('Clean Data'!$L$2:$L$248,A142)</f>
        <v>1</v>
      </c>
      <c r="D142" s="2" t="n">
        <f aca="false">COUNTIFS('Clean Data'!$M$2:$M$248,A142)</f>
        <v>4</v>
      </c>
    </row>
    <row r="143" customFormat="false" ht="15" hidden="false" customHeight="false" outlineLevel="0" collapsed="false">
      <c r="A143" s="33" t="n">
        <v>45064</v>
      </c>
      <c r="B143" s="2" t="n">
        <f aca="false">COUNTIFS('Clean Data'!$L$2:$L$248,"&lt;="&amp;A143,'Clean Data'!$M$2:$M$248,"&gt;"&amp;A143)</f>
        <v>9</v>
      </c>
      <c r="C143" s="2" t="n">
        <f aca="false">COUNTIFS('Clean Data'!$L$2:$L$248,A143)</f>
        <v>0</v>
      </c>
      <c r="D143" s="2" t="n">
        <f aca="false">COUNTIFS('Clean Data'!$M$2:$M$248,A143)</f>
        <v>1</v>
      </c>
    </row>
    <row r="144" customFormat="false" ht="15" hidden="false" customHeight="false" outlineLevel="0" collapsed="false">
      <c r="A144" s="33" t="n">
        <v>45065</v>
      </c>
      <c r="B144" s="2" t="n">
        <f aca="false">COUNTIFS('Clean Data'!$L$2:$L$248,"&lt;="&amp;A144,'Clean Data'!$M$2:$M$248,"&gt;"&amp;A144)</f>
        <v>7</v>
      </c>
      <c r="C144" s="2" t="n">
        <f aca="false">COUNTIFS('Clean Data'!$L$2:$L$248,A144)</f>
        <v>0</v>
      </c>
      <c r="D144" s="2" t="n">
        <f aca="false">COUNTIFS('Clean Data'!$M$2:$M$248,A144)</f>
        <v>2</v>
      </c>
    </row>
    <row r="145" customFormat="false" ht="15" hidden="false" customHeight="false" outlineLevel="0" collapsed="false">
      <c r="A145" s="33" t="n">
        <v>45066</v>
      </c>
      <c r="B145" s="2" t="n">
        <f aca="false">COUNTIFS('Clean Data'!$L$2:$L$248,"&lt;="&amp;A145,'Clean Data'!$M$2:$M$248,"&gt;"&amp;A145)</f>
        <v>7</v>
      </c>
      <c r="C145" s="2" t="n">
        <f aca="false">COUNTIFS('Clean Data'!$L$2:$L$248,A145)</f>
        <v>0</v>
      </c>
      <c r="D145" s="2" t="n">
        <f aca="false">COUNTIFS('Clean Data'!$M$2:$M$248,A145)</f>
        <v>0</v>
      </c>
    </row>
    <row r="146" customFormat="false" ht="15" hidden="false" customHeight="false" outlineLevel="0" collapsed="false">
      <c r="A146" s="33" t="n">
        <v>45067</v>
      </c>
      <c r="B146" s="2" t="n">
        <f aca="false">COUNTIFS('Clean Data'!$L$2:$L$248,"&lt;="&amp;A146,'Clean Data'!$M$2:$M$248,"&gt;"&amp;A146)</f>
        <v>7</v>
      </c>
      <c r="C146" s="2" t="n">
        <f aca="false">COUNTIFS('Clean Data'!$L$2:$L$248,A146)</f>
        <v>0</v>
      </c>
      <c r="D146" s="2" t="n">
        <f aca="false">COUNTIFS('Clean Data'!$M$2:$M$248,A146)</f>
        <v>0</v>
      </c>
    </row>
    <row r="147" customFormat="false" ht="15" hidden="false" customHeight="false" outlineLevel="0" collapsed="false">
      <c r="A147" s="33" t="n">
        <v>45068</v>
      </c>
      <c r="B147" s="2" t="n">
        <f aca="false">COUNTIFS('Clean Data'!$L$2:$L$248,"&lt;="&amp;A147,'Clean Data'!$M$2:$M$248,"&gt;"&amp;A147)</f>
        <v>5</v>
      </c>
      <c r="C147" s="2" t="n">
        <f aca="false">COUNTIFS('Clean Data'!$L$2:$L$248,A147)</f>
        <v>0</v>
      </c>
      <c r="D147" s="2" t="n">
        <f aca="false">COUNTIFS('Clean Data'!$M$2:$M$248,A147)</f>
        <v>2</v>
      </c>
    </row>
    <row r="148" customFormat="false" ht="15" hidden="false" customHeight="false" outlineLevel="0" collapsed="false">
      <c r="A148" s="33" t="n">
        <v>45069</v>
      </c>
      <c r="B148" s="2" t="n">
        <f aca="false">COUNTIFS('Clean Data'!$L$2:$L$248,"&lt;="&amp;A148,'Clean Data'!$M$2:$M$248,"&gt;"&amp;A148)</f>
        <v>6</v>
      </c>
      <c r="C148" s="2" t="n">
        <f aca="false">COUNTIFS('Clean Data'!$L$2:$L$248,A148)</f>
        <v>2</v>
      </c>
      <c r="D148" s="2" t="n">
        <f aca="false">COUNTIFS('Clean Data'!$M$2:$M$248,A148)</f>
        <v>1</v>
      </c>
    </row>
    <row r="149" customFormat="false" ht="15" hidden="false" customHeight="false" outlineLevel="0" collapsed="false">
      <c r="A149" s="33" t="n">
        <v>45070</v>
      </c>
      <c r="B149" s="2" t="n">
        <f aca="false">COUNTIFS('Clean Data'!$L$2:$L$248,"&lt;="&amp;A149,'Clean Data'!$M$2:$M$248,"&gt;"&amp;A149)</f>
        <v>5</v>
      </c>
      <c r="C149" s="2" t="n">
        <f aca="false">COUNTIFS('Clean Data'!$L$2:$L$248,A149)</f>
        <v>0</v>
      </c>
      <c r="D149" s="2" t="n">
        <f aca="false">COUNTIFS('Clean Data'!$M$2:$M$248,A149)</f>
        <v>1</v>
      </c>
    </row>
    <row r="150" customFormat="false" ht="15" hidden="false" customHeight="false" outlineLevel="0" collapsed="false">
      <c r="A150" s="33" t="n">
        <v>45071</v>
      </c>
      <c r="B150" s="2" t="n">
        <f aca="false">COUNTIFS('Clean Data'!$L$2:$L$248,"&lt;="&amp;A150,'Clean Data'!$M$2:$M$248,"&gt;"&amp;A150)</f>
        <v>8</v>
      </c>
      <c r="C150" s="2" t="n">
        <f aca="false">COUNTIFS('Clean Data'!$L$2:$L$248,A150)</f>
        <v>3</v>
      </c>
      <c r="D150" s="2" t="n">
        <f aca="false">COUNTIFS('Clean Data'!$M$2:$M$248,A150)</f>
        <v>0</v>
      </c>
    </row>
    <row r="151" customFormat="false" ht="15" hidden="false" customHeight="false" outlineLevel="0" collapsed="false">
      <c r="A151" s="33" t="n">
        <v>45072</v>
      </c>
      <c r="B151" s="2" t="n">
        <f aca="false">COUNTIFS('Clean Data'!$L$2:$L$248,"&lt;="&amp;A151,'Clean Data'!$M$2:$M$248,"&gt;"&amp;A151)</f>
        <v>7</v>
      </c>
      <c r="C151" s="2" t="n">
        <f aca="false">COUNTIFS('Clean Data'!$L$2:$L$248,A151)</f>
        <v>0</v>
      </c>
      <c r="D151" s="2" t="n">
        <f aca="false">COUNTIFS('Clean Data'!$M$2:$M$248,A151)</f>
        <v>1</v>
      </c>
    </row>
    <row r="152" customFormat="false" ht="15" hidden="false" customHeight="false" outlineLevel="0" collapsed="false">
      <c r="A152" s="33" t="n">
        <v>45073</v>
      </c>
      <c r="B152" s="2" t="n">
        <f aca="false">COUNTIFS('Clean Data'!$L$2:$L$248,"&lt;="&amp;A152,'Clean Data'!$M$2:$M$248,"&gt;"&amp;A152)</f>
        <v>10</v>
      </c>
      <c r="C152" s="2" t="n">
        <f aca="false">COUNTIFS('Clean Data'!$L$2:$L$248,A152)</f>
        <v>3</v>
      </c>
      <c r="D152" s="2" t="n">
        <f aca="false">COUNTIFS('Clean Data'!$M$2:$M$248,A152)</f>
        <v>0</v>
      </c>
    </row>
    <row r="153" customFormat="false" ht="15" hidden="false" customHeight="false" outlineLevel="0" collapsed="false">
      <c r="A153" s="33" t="n">
        <v>45074</v>
      </c>
      <c r="B153" s="2" t="n">
        <f aca="false">COUNTIFS('Clean Data'!$L$2:$L$248,"&lt;="&amp;A153,'Clean Data'!$M$2:$M$248,"&gt;"&amp;A153)</f>
        <v>7</v>
      </c>
      <c r="C153" s="2" t="n">
        <f aca="false">COUNTIFS('Clean Data'!$L$2:$L$248,A153)</f>
        <v>0</v>
      </c>
      <c r="D153" s="2" t="n">
        <f aca="false">COUNTIFS('Clean Data'!$M$2:$M$248,A153)</f>
        <v>3</v>
      </c>
    </row>
    <row r="154" customFormat="false" ht="15" hidden="false" customHeight="false" outlineLevel="0" collapsed="false">
      <c r="A154" s="33" t="n">
        <v>45075</v>
      </c>
      <c r="B154" s="2" t="n">
        <f aca="false">COUNTIFS('Clean Data'!$L$2:$L$248,"&lt;="&amp;A154,'Clean Data'!$M$2:$M$248,"&gt;"&amp;A154)</f>
        <v>7</v>
      </c>
      <c r="C154" s="2" t="n">
        <f aca="false">COUNTIFS('Clean Data'!$L$2:$L$248,A154)</f>
        <v>0</v>
      </c>
      <c r="D154" s="2" t="n">
        <f aca="false">COUNTIFS('Clean Data'!$M$2:$M$248,A154)</f>
        <v>0</v>
      </c>
    </row>
    <row r="155" customFormat="false" ht="15" hidden="false" customHeight="false" outlineLevel="0" collapsed="false">
      <c r="A155" s="33" t="n">
        <v>45076</v>
      </c>
      <c r="B155" s="2" t="n">
        <f aca="false">COUNTIFS('Clean Data'!$L$2:$L$248,"&lt;="&amp;A155,'Clean Data'!$M$2:$M$248,"&gt;"&amp;A155)</f>
        <v>5</v>
      </c>
      <c r="C155" s="2" t="n">
        <f aca="false">COUNTIFS('Clean Data'!$L$2:$L$248,A155)</f>
        <v>1</v>
      </c>
      <c r="D155" s="2" t="n">
        <f aca="false">COUNTIFS('Clean Data'!$M$2:$M$248,A155)</f>
        <v>3</v>
      </c>
    </row>
    <row r="156" customFormat="false" ht="15" hidden="false" customHeight="false" outlineLevel="0" collapsed="false">
      <c r="A156" s="33" t="n">
        <v>45077</v>
      </c>
      <c r="B156" s="2" t="n">
        <f aca="false">COUNTIFS('Clean Data'!$L$2:$L$248,"&lt;="&amp;A156,'Clean Data'!$M$2:$M$248,"&gt;"&amp;A156)</f>
        <v>5</v>
      </c>
      <c r="C156" s="2" t="n">
        <f aca="false">COUNTIFS('Clean Data'!$L$2:$L$248,A156)</f>
        <v>1</v>
      </c>
      <c r="D156" s="2" t="n">
        <f aca="false">COUNTIFS('Clean Data'!$M$2:$M$248,A156)</f>
        <v>1</v>
      </c>
    </row>
    <row r="157" customFormat="false" ht="15" hidden="false" customHeight="false" outlineLevel="0" collapsed="false">
      <c r="A157" s="33" t="n">
        <v>45078</v>
      </c>
      <c r="B157" s="2" t="n">
        <f aca="false">COUNTIFS('Clean Data'!$L$2:$L$248,"&lt;="&amp;A157,'Clean Data'!$M$2:$M$248,"&gt;"&amp;A157)</f>
        <v>4</v>
      </c>
      <c r="C157" s="2" t="n">
        <f aca="false">COUNTIFS('Clean Data'!$L$2:$L$248,A157)</f>
        <v>0</v>
      </c>
      <c r="D157" s="2" t="n">
        <f aca="false">COUNTIFS('Clean Data'!$M$2:$M$248,A157)</f>
        <v>1</v>
      </c>
    </row>
    <row r="158" customFormat="false" ht="15" hidden="false" customHeight="false" outlineLevel="0" collapsed="false">
      <c r="A158" s="33" t="n">
        <v>45079</v>
      </c>
      <c r="B158" s="2" t="n">
        <f aca="false">COUNTIFS('Clean Data'!$L$2:$L$248,"&lt;="&amp;A158,'Clean Data'!$M$2:$M$248,"&gt;"&amp;A158)</f>
        <v>4</v>
      </c>
      <c r="C158" s="2" t="n">
        <f aca="false">COUNTIFS('Clean Data'!$L$2:$L$248,A158)</f>
        <v>0</v>
      </c>
      <c r="D158" s="2" t="n">
        <f aca="false">COUNTIFS('Clean Data'!$M$2:$M$248,A158)</f>
        <v>0</v>
      </c>
    </row>
    <row r="159" customFormat="false" ht="15" hidden="false" customHeight="false" outlineLevel="0" collapsed="false">
      <c r="A159" s="33" t="n">
        <v>45080</v>
      </c>
      <c r="B159" s="2" t="n">
        <f aca="false">COUNTIFS('Clean Data'!$L$2:$L$248,"&lt;="&amp;A159,'Clean Data'!$M$2:$M$248,"&gt;"&amp;A159)</f>
        <v>3</v>
      </c>
      <c r="C159" s="2" t="n">
        <f aca="false">COUNTIFS('Clean Data'!$L$2:$L$248,A159)</f>
        <v>0</v>
      </c>
      <c r="D159" s="2" t="n">
        <f aca="false">COUNTIFS('Clean Data'!$M$2:$M$248,A159)</f>
        <v>1</v>
      </c>
    </row>
    <row r="160" customFormat="false" ht="15" hidden="false" customHeight="false" outlineLevel="0" collapsed="false">
      <c r="A160" s="33" t="n">
        <v>45081</v>
      </c>
      <c r="B160" s="2" t="n">
        <f aca="false">COUNTIFS('Clean Data'!$L$2:$L$248,"&lt;="&amp;A160,'Clean Data'!$M$2:$M$248,"&gt;"&amp;A160)</f>
        <v>3</v>
      </c>
      <c r="C160" s="2" t="n">
        <f aca="false">COUNTIFS('Clean Data'!$L$2:$L$248,A160)</f>
        <v>0</v>
      </c>
      <c r="D160" s="2" t="n">
        <f aca="false">COUNTIFS('Clean Data'!$M$2:$M$248,A160)</f>
        <v>0</v>
      </c>
    </row>
    <row r="161" customFormat="false" ht="15" hidden="false" customHeight="false" outlineLevel="0" collapsed="false">
      <c r="A161" s="33" t="n">
        <v>45082</v>
      </c>
      <c r="B161" s="2" t="n">
        <f aca="false">COUNTIFS('Clean Data'!$L$2:$L$248,"&lt;="&amp;A161,'Clean Data'!$M$2:$M$248,"&gt;"&amp;A161)</f>
        <v>3</v>
      </c>
      <c r="C161" s="2" t="n">
        <f aca="false">COUNTIFS('Clean Data'!$L$2:$L$248,A161)</f>
        <v>0</v>
      </c>
      <c r="D161" s="2" t="n">
        <f aca="false">COUNTIFS('Clean Data'!$M$2:$M$248,A161)</f>
        <v>0</v>
      </c>
    </row>
    <row r="162" customFormat="false" ht="15" hidden="false" customHeight="false" outlineLevel="0" collapsed="false">
      <c r="A162" s="33" t="n">
        <v>45083</v>
      </c>
      <c r="B162" s="2" t="n">
        <f aca="false">COUNTIFS('Clean Data'!$L$2:$L$248,"&lt;="&amp;A162,'Clean Data'!$M$2:$M$248,"&gt;"&amp;A162)</f>
        <v>4</v>
      </c>
      <c r="C162" s="2" t="n">
        <f aca="false">COUNTIFS('Clean Data'!$L$2:$L$248,A162)</f>
        <v>3</v>
      </c>
      <c r="D162" s="2" t="n">
        <f aca="false">COUNTIFS('Clean Data'!$M$2:$M$248,A162)</f>
        <v>2</v>
      </c>
    </row>
    <row r="163" customFormat="false" ht="15" hidden="false" customHeight="false" outlineLevel="0" collapsed="false">
      <c r="A163" s="33" t="n">
        <v>45084</v>
      </c>
      <c r="B163" s="2" t="n">
        <f aca="false">COUNTIFS('Clean Data'!$L$2:$L$248,"&lt;="&amp;A163,'Clean Data'!$M$2:$M$248,"&gt;"&amp;A163)</f>
        <v>3</v>
      </c>
      <c r="C163" s="2" t="n">
        <f aca="false">COUNTIFS('Clean Data'!$L$2:$L$248,A163)</f>
        <v>1</v>
      </c>
      <c r="D163" s="2" t="n">
        <f aca="false">COUNTIFS('Clean Data'!$M$2:$M$248,A163)</f>
        <v>2</v>
      </c>
    </row>
    <row r="164" customFormat="false" ht="15" hidden="false" customHeight="false" outlineLevel="0" collapsed="false">
      <c r="A164" s="33" t="n">
        <v>45085</v>
      </c>
      <c r="B164" s="2" t="n">
        <f aca="false">COUNTIFS('Clean Data'!$L$2:$L$248,"&lt;="&amp;A164,'Clean Data'!$M$2:$M$248,"&gt;"&amp;A164)</f>
        <v>2</v>
      </c>
      <c r="C164" s="2" t="n">
        <f aca="false">COUNTIFS('Clean Data'!$L$2:$L$248,A164)</f>
        <v>0</v>
      </c>
      <c r="D164" s="2" t="n">
        <f aca="false">COUNTIFS('Clean Data'!$M$2:$M$248,A164)</f>
        <v>1</v>
      </c>
    </row>
    <row r="165" customFormat="false" ht="15" hidden="false" customHeight="false" outlineLevel="0" collapsed="false">
      <c r="A165" s="33" t="n">
        <v>45086</v>
      </c>
      <c r="B165" s="2" t="n">
        <f aca="false">COUNTIFS('Clean Data'!$L$2:$L$248,"&lt;="&amp;A165,'Clean Data'!$M$2:$M$248,"&gt;"&amp;A165)</f>
        <v>2</v>
      </c>
      <c r="C165" s="2" t="n">
        <f aca="false">COUNTIFS('Clean Data'!$L$2:$L$248,A165)</f>
        <v>0</v>
      </c>
      <c r="D165" s="2" t="n">
        <f aca="false">COUNTIFS('Clean Data'!$M$2:$M$248,A165)</f>
        <v>0</v>
      </c>
    </row>
    <row r="166" customFormat="false" ht="15" hidden="false" customHeight="false" outlineLevel="0" collapsed="false">
      <c r="A166" s="33" t="n">
        <v>45087</v>
      </c>
      <c r="B166" s="2" t="n">
        <f aca="false">COUNTIFS('Clean Data'!$L$2:$L$248,"&lt;="&amp;A166,'Clean Data'!$M$2:$M$248,"&gt;"&amp;A166)</f>
        <v>3</v>
      </c>
      <c r="C166" s="2" t="n">
        <f aca="false">COUNTIFS('Clean Data'!$L$2:$L$248,A166)</f>
        <v>1</v>
      </c>
      <c r="D166" s="2" t="n">
        <f aca="false">COUNTIFS('Clean Data'!$M$2:$M$248,A166)</f>
        <v>0</v>
      </c>
    </row>
    <row r="167" customFormat="false" ht="15" hidden="false" customHeight="false" outlineLevel="0" collapsed="false">
      <c r="A167" s="33" t="n">
        <v>45088</v>
      </c>
      <c r="B167" s="2" t="n">
        <f aca="false">COUNTIFS('Clean Data'!$L$2:$L$248,"&lt;="&amp;A167,'Clean Data'!$M$2:$M$248,"&gt;"&amp;A167)</f>
        <v>4</v>
      </c>
      <c r="C167" s="2" t="n">
        <f aca="false">COUNTIFS('Clean Data'!$L$2:$L$248,A167)</f>
        <v>2</v>
      </c>
      <c r="D167" s="2" t="n">
        <f aca="false">COUNTIFS('Clean Data'!$M$2:$M$248,A167)</f>
        <v>1</v>
      </c>
    </row>
    <row r="168" customFormat="false" ht="15" hidden="false" customHeight="false" outlineLevel="0" collapsed="false">
      <c r="A168" s="33" t="n">
        <v>45089</v>
      </c>
      <c r="B168" s="2" t="n">
        <f aca="false">COUNTIFS('Clean Data'!$L$2:$L$248,"&lt;="&amp;A168,'Clean Data'!$M$2:$M$248,"&gt;"&amp;A168)</f>
        <v>5</v>
      </c>
      <c r="C168" s="2" t="n">
        <f aca="false">COUNTIFS('Clean Data'!$L$2:$L$248,A168)</f>
        <v>2</v>
      </c>
      <c r="D168" s="2" t="n">
        <f aca="false">COUNTIFS('Clean Data'!$M$2:$M$248,A168)</f>
        <v>1</v>
      </c>
    </row>
    <row r="169" customFormat="false" ht="15" hidden="false" customHeight="false" outlineLevel="0" collapsed="false">
      <c r="A169" s="33" t="n">
        <v>45090</v>
      </c>
      <c r="B169" s="2" t="n">
        <f aca="false">COUNTIFS('Clean Data'!$L$2:$L$248,"&lt;="&amp;A169,'Clean Data'!$M$2:$M$248,"&gt;"&amp;A169)</f>
        <v>4</v>
      </c>
      <c r="C169" s="2" t="n">
        <f aca="false">COUNTIFS('Clean Data'!$L$2:$L$248,A169)</f>
        <v>0</v>
      </c>
      <c r="D169" s="2" t="n">
        <f aca="false">COUNTIFS('Clean Data'!$M$2:$M$248,A169)</f>
        <v>1</v>
      </c>
    </row>
    <row r="170" customFormat="false" ht="15" hidden="false" customHeight="false" outlineLevel="0" collapsed="false">
      <c r="A170" s="33" t="n">
        <v>45091</v>
      </c>
      <c r="B170" s="2" t="n">
        <f aca="false">COUNTIFS('Clean Data'!$L$2:$L$248,"&lt;="&amp;A170,'Clean Data'!$M$2:$M$248,"&gt;"&amp;A170)</f>
        <v>5</v>
      </c>
      <c r="C170" s="2" t="n">
        <f aca="false">COUNTIFS('Clean Data'!$L$2:$L$248,A170)</f>
        <v>2</v>
      </c>
      <c r="D170" s="2" t="n">
        <f aca="false">COUNTIFS('Clean Data'!$M$2:$M$248,A170)</f>
        <v>1</v>
      </c>
    </row>
    <row r="171" customFormat="false" ht="15" hidden="false" customHeight="false" outlineLevel="0" collapsed="false">
      <c r="A171" s="33" t="n">
        <v>45092</v>
      </c>
      <c r="B171" s="2" t="n">
        <f aca="false">COUNTIFS('Clean Data'!$L$2:$L$248,"&lt;="&amp;A171,'Clean Data'!$M$2:$M$248,"&gt;"&amp;A171)</f>
        <v>4</v>
      </c>
      <c r="C171" s="2" t="n">
        <f aca="false">COUNTIFS('Clean Data'!$L$2:$L$248,A171)</f>
        <v>0</v>
      </c>
      <c r="D171" s="2" t="n">
        <f aca="false">COUNTIFS('Clean Data'!$M$2:$M$248,A171)</f>
        <v>1</v>
      </c>
    </row>
    <row r="172" customFormat="false" ht="15" hidden="false" customHeight="false" outlineLevel="0" collapsed="false">
      <c r="A172" s="33" t="n">
        <v>45093</v>
      </c>
      <c r="B172" s="2" t="n">
        <f aca="false">COUNTIFS('Clean Data'!$L$2:$L$248,"&lt;="&amp;A172,'Clean Data'!$M$2:$M$248,"&gt;"&amp;A172)</f>
        <v>4</v>
      </c>
      <c r="C172" s="2" t="n">
        <f aca="false">COUNTIFS('Clean Data'!$L$2:$L$248,A172)</f>
        <v>1</v>
      </c>
      <c r="D172" s="2" t="n">
        <f aca="false">COUNTIFS('Clean Data'!$M$2:$M$248,A172)</f>
        <v>1</v>
      </c>
    </row>
    <row r="173" customFormat="false" ht="15" hidden="false" customHeight="false" outlineLevel="0" collapsed="false">
      <c r="A173" s="33" t="n">
        <v>45094</v>
      </c>
      <c r="B173" s="2" t="n">
        <f aca="false">COUNTIFS('Clean Data'!$L$2:$L$248,"&lt;="&amp;A173,'Clean Data'!$M$2:$M$248,"&gt;"&amp;A173)</f>
        <v>5</v>
      </c>
      <c r="C173" s="2" t="n">
        <f aca="false">COUNTIFS('Clean Data'!$L$2:$L$248,A173)</f>
        <v>1</v>
      </c>
      <c r="D173" s="2" t="n">
        <f aca="false">COUNTIFS('Clean Data'!$M$2:$M$248,A173)</f>
        <v>0</v>
      </c>
    </row>
    <row r="174" customFormat="false" ht="15" hidden="false" customHeight="false" outlineLevel="0" collapsed="false">
      <c r="A174" s="33" t="n">
        <v>45095</v>
      </c>
      <c r="B174" s="2" t="n">
        <f aca="false">COUNTIFS('Clean Data'!$L$2:$L$248,"&lt;="&amp;A174,'Clean Data'!$M$2:$M$248,"&gt;"&amp;A174)</f>
        <v>3</v>
      </c>
      <c r="C174" s="2" t="n">
        <f aca="false">COUNTIFS('Clean Data'!$L$2:$L$248,A174)</f>
        <v>0</v>
      </c>
      <c r="D174" s="2" t="n">
        <f aca="false">COUNTIFS('Clean Data'!$M$2:$M$248,A174)</f>
        <v>2</v>
      </c>
    </row>
    <row r="175" customFormat="false" ht="15" hidden="false" customHeight="false" outlineLevel="0" collapsed="false">
      <c r="A175" s="33" t="n">
        <v>45096</v>
      </c>
      <c r="B175" s="2" t="n">
        <f aca="false">COUNTIFS('Clean Data'!$L$2:$L$248,"&lt;="&amp;A175,'Clean Data'!$M$2:$M$248,"&gt;"&amp;A175)</f>
        <v>3</v>
      </c>
      <c r="C175" s="2" t="n">
        <f aca="false">COUNTIFS('Clean Data'!$L$2:$L$248,A175)</f>
        <v>1</v>
      </c>
      <c r="D175" s="2" t="n">
        <f aca="false">COUNTIFS('Clean Data'!$M$2:$M$248,A175)</f>
        <v>1</v>
      </c>
    </row>
    <row r="176" customFormat="false" ht="15" hidden="false" customHeight="false" outlineLevel="0" collapsed="false">
      <c r="A176" s="33" t="n">
        <v>45097</v>
      </c>
      <c r="B176" s="2" t="n">
        <f aca="false">COUNTIFS('Clean Data'!$L$2:$L$248,"&lt;="&amp;A176,'Clean Data'!$M$2:$M$248,"&gt;"&amp;A176)</f>
        <v>3</v>
      </c>
      <c r="C176" s="2" t="n">
        <f aca="false">COUNTIFS('Clean Data'!$L$2:$L$248,A176)</f>
        <v>0</v>
      </c>
      <c r="D176" s="2" t="n">
        <f aca="false">COUNTIFS('Clean Data'!$M$2:$M$248,A176)</f>
        <v>0</v>
      </c>
    </row>
    <row r="177" customFormat="false" ht="15" hidden="false" customHeight="false" outlineLevel="0" collapsed="false">
      <c r="A177" s="33" t="n">
        <v>45098</v>
      </c>
      <c r="B177" s="2" t="n">
        <f aca="false">COUNTIFS('Clean Data'!$L$2:$L$248,"&lt;="&amp;A177,'Clean Data'!$M$2:$M$248,"&gt;"&amp;A177)</f>
        <v>2</v>
      </c>
      <c r="C177" s="2" t="n">
        <f aca="false">COUNTIFS('Clean Data'!$L$2:$L$248,A177)</f>
        <v>0</v>
      </c>
      <c r="D177" s="2" t="n">
        <f aca="false">COUNTIFS('Clean Data'!$M$2:$M$248,A177)</f>
        <v>1</v>
      </c>
    </row>
    <row r="178" customFormat="false" ht="15" hidden="false" customHeight="false" outlineLevel="0" collapsed="false">
      <c r="A178" s="33" t="n">
        <v>45099</v>
      </c>
      <c r="B178" s="2" t="n">
        <f aca="false">COUNTIFS('Clean Data'!$L$2:$L$248,"&lt;="&amp;A178,'Clean Data'!$M$2:$M$248,"&gt;"&amp;A178)</f>
        <v>2</v>
      </c>
      <c r="C178" s="2" t="n">
        <f aca="false">COUNTIFS('Clean Data'!$L$2:$L$248,A178)</f>
        <v>0</v>
      </c>
      <c r="D178" s="2" t="n">
        <f aca="false">COUNTIFS('Clean Data'!$M$2:$M$248,A178)</f>
        <v>0</v>
      </c>
    </row>
    <row r="179" customFormat="false" ht="15" hidden="false" customHeight="false" outlineLevel="0" collapsed="false">
      <c r="A179" s="33" t="n">
        <v>45100</v>
      </c>
      <c r="B179" s="2" t="n">
        <f aca="false">COUNTIFS('Clean Data'!$L$2:$L$248,"&lt;="&amp;A179,'Clean Data'!$M$2:$M$248,"&gt;"&amp;A179)</f>
        <v>1</v>
      </c>
      <c r="C179" s="2" t="n">
        <f aca="false">COUNTIFS('Clean Data'!$L$2:$L$248,A179)</f>
        <v>0</v>
      </c>
      <c r="D179" s="2" t="n">
        <f aca="false">COUNTIFS('Clean Data'!$M$2:$M$248,A179)</f>
        <v>1</v>
      </c>
    </row>
    <row r="180" customFormat="false" ht="15" hidden="false" customHeight="false" outlineLevel="0" collapsed="false">
      <c r="A180" s="33" t="n">
        <v>45101</v>
      </c>
      <c r="B180" s="2" t="n">
        <f aca="false">COUNTIFS('Clean Data'!$L$2:$L$248,"&lt;="&amp;A180,'Clean Data'!$M$2:$M$248,"&gt;"&amp;A180)</f>
        <v>3</v>
      </c>
      <c r="C180" s="2" t="n">
        <f aca="false">COUNTIFS('Clean Data'!$L$2:$L$248,A180)</f>
        <v>3</v>
      </c>
      <c r="D180" s="2" t="n">
        <f aca="false">COUNTIFS('Clean Data'!$M$2:$M$248,A180)</f>
        <v>1</v>
      </c>
    </row>
    <row r="181" customFormat="false" ht="15" hidden="false" customHeight="false" outlineLevel="0" collapsed="false">
      <c r="A181" s="33" t="n">
        <v>45102</v>
      </c>
      <c r="B181" s="2" t="n">
        <f aca="false">COUNTIFS('Clean Data'!$L$2:$L$248,"&lt;="&amp;A181,'Clean Data'!$M$2:$M$248,"&gt;"&amp;A181)</f>
        <v>2</v>
      </c>
      <c r="C181" s="2" t="n">
        <f aca="false">COUNTIFS('Clean Data'!$L$2:$L$248,A181)</f>
        <v>0</v>
      </c>
      <c r="D181" s="2" t="n">
        <f aca="false">COUNTIFS('Clean Data'!$M$2:$M$248,A181)</f>
        <v>1</v>
      </c>
    </row>
    <row r="182" customFormat="false" ht="15" hidden="false" customHeight="false" outlineLevel="0" collapsed="false">
      <c r="A182" s="33" t="n">
        <v>45103</v>
      </c>
      <c r="B182" s="2" t="n">
        <f aca="false">COUNTIFS('Clean Data'!$L$2:$L$248,"&lt;="&amp;A182,'Clean Data'!$M$2:$M$248,"&gt;"&amp;A182)</f>
        <v>3</v>
      </c>
      <c r="C182" s="2" t="n">
        <f aca="false">COUNTIFS('Clean Data'!$L$2:$L$248,A182)</f>
        <v>1</v>
      </c>
      <c r="D182" s="2" t="n">
        <f aca="false">COUNTIFS('Clean Data'!$M$2:$M$248,A182)</f>
        <v>0</v>
      </c>
    </row>
    <row r="183" customFormat="false" ht="15" hidden="false" customHeight="false" outlineLevel="0" collapsed="false">
      <c r="A183" s="33" t="n">
        <v>45104</v>
      </c>
      <c r="B183" s="2" t="n">
        <f aca="false">COUNTIFS('Clean Data'!$L$2:$L$248,"&lt;="&amp;A183,'Clean Data'!$M$2:$M$248,"&gt;"&amp;A183)</f>
        <v>2</v>
      </c>
      <c r="C183" s="2" t="n">
        <f aca="false">COUNTIFS('Clean Data'!$L$2:$L$248,A183)</f>
        <v>0</v>
      </c>
      <c r="D183" s="2" t="n">
        <f aca="false">COUNTIFS('Clean Data'!$M$2:$M$248,A183)</f>
        <v>1</v>
      </c>
    </row>
    <row r="184" customFormat="false" ht="15" hidden="false" customHeight="false" outlineLevel="0" collapsed="false">
      <c r="A184" s="33" t="n">
        <v>45105</v>
      </c>
      <c r="B184" s="2" t="n">
        <f aca="false">COUNTIFS('Clean Data'!$L$2:$L$248,"&lt;="&amp;A184,'Clean Data'!$M$2:$M$248,"&gt;"&amp;A184)</f>
        <v>4</v>
      </c>
      <c r="C184" s="2" t="n">
        <f aca="false">COUNTIFS('Clean Data'!$L$2:$L$248,A184)</f>
        <v>2</v>
      </c>
      <c r="D184" s="2" t="n">
        <f aca="false">COUNTIFS('Clean Data'!$M$2:$M$248,A184)</f>
        <v>0</v>
      </c>
    </row>
    <row r="185" customFormat="false" ht="15" hidden="false" customHeight="false" outlineLevel="0" collapsed="false">
      <c r="A185" s="33" t="n">
        <v>45106</v>
      </c>
      <c r="B185" s="2" t="n">
        <f aca="false">COUNTIFS('Clean Data'!$L$2:$L$248,"&lt;="&amp;A185,'Clean Data'!$M$2:$M$248,"&gt;"&amp;A185)</f>
        <v>3</v>
      </c>
      <c r="C185" s="2" t="n">
        <f aca="false">COUNTIFS('Clean Data'!$L$2:$L$248,A185)</f>
        <v>0</v>
      </c>
      <c r="D185" s="2" t="n">
        <f aca="false">COUNTIFS('Clean Data'!$M$2:$M$248,A185)</f>
        <v>1</v>
      </c>
    </row>
    <row r="186" customFormat="false" ht="15" hidden="false" customHeight="false" outlineLevel="0" collapsed="false">
      <c r="A186" s="33" t="n">
        <v>45107</v>
      </c>
      <c r="B186" s="2" t="n">
        <f aca="false">COUNTIFS('Clean Data'!$L$2:$L$248,"&lt;="&amp;A186,'Clean Data'!$M$2:$M$248,"&gt;"&amp;A186)</f>
        <v>4</v>
      </c>
      <c r="C186" s="2" t="n">
        <f aca="false">COUNTIFS('Clean Data'!$L$2:$L$248,A186)</f>
        <v>1</v>
      </c>
      <c r="D186" s="2" t="n">
        <f aca="false">COUNTIFS('Clean Data'!$M$2:$M$248,A186)</f>
        <v>0</v>
      </c>
    </row>
    <row r="187" customFormat="false" ht="15" hidden="false" customHeight="false" outlineLevel="0" collapsed="false">
      <c r="A187" s="33" t="n">
        <v>45108</v>
      </c>
      <c r="B187" s="2" t="n">
        <f aca="false">COUNTIFS('Clean Data'!$L$2:$L$248,"&lt;="&amp;A187,'Clean Data'!$M$2:$M$248,"&gt;"&amp;A187)</f>
        <v>4</v>
      </c>
      <c r="C187" s="2" t="n">
        <f aca="false">COUNTIFS('Clean Data'!$L$2:$L$248,A187)</f>
        <v>0</v>
      </c>
      <c r="D187" s="2" t="n">
        <f aca="false">COUNTIFS('Clean Data'!$M$2:$M$248,A187)</f>
        <v>0</v>
      </c>
    </row>
    <row r="188" customFormat="false" ht="15" hidden="false" customHeight="false" outlineLevel="0" collapsed="false">
      <c r="A188" s="33" t="n">
        <v>45109</v>
      </c>
      <c r="B188" s="2" t="n">
        <f aca="false">COUNTIFS('Clean Data'!$L$2:$L$248,"&lt;="&amp;A188,'Clean Data'!$M$2:$M$248,"&gt;"&amp;A188)</f>
        <v>2</v>
      </c>
      <c r="C188" s="2" t="n">
        <f aca="false">COUNTIFS('Clean Data'!$L$2:$L$248,A188)</f>
        <v>0</v>
      </c>
      <c r="D188" s="2" t="n">
        <f aca="false">COUNTIFS('Clean Data'!$M$2:$M$248,A188)</f>
        <v>2</v>
      </c>
    </row>
    <row r="189" customFormat="false" ht="15" hidden="false" customHeight="false" outlineLevel="0" collapsed="false">
      <c r="A189" s="33" t="n">
        <v>45110</v>
      </c>
      <c r="B189" s="2" t="n">
        <f aca="false">COUNTIFS('Clean Data'!$L$2:$L$248,"&lt;="&amp;A189,'Clean Data'!$M$2:$M$248,"&gt;"&amp;A189)</f>
        <v>3</v>
      </c>
      <c r="C189" s="2" t="n">
        <f aca="false">COUNTIFS('Clean Data'!$L$2:$L$248,A189)</f>
        <v>1</v>
      </c>
      <c r="D189" s="2" t="n">
        <f aca="false">COUNTIFS('Clean Data'!$M$2:$M$248,A189)</f>
        <v>0</v>
      </c>
    </row>
    <row r="190" customFormat="false" ht="15" hidden="false" customHeight="false" outlineLevel="0" collapsed="false">
      <c r="A190" s="33" t="n">
        <v>45111</v>
      </c>
      <c r="B190" s="2" t="n">
        <f aca="false">COUNTIFS('Clean Data'!$L$2:$L$248,"&lt;="&amp;A190,'Clean Data'!$M$2:$M$248,"&gt;"&amp;A190)</f>
        <v>6</v>
      </c>
      <c r="C190" s="2" t="n">
        <f aca="false">COUNTIFS('Clean Data'!$L$2:$L$248,A190)</f>
        <v>3</v>
      </c>
      <c r="D190" s="2" t="n">
        <f aca="false">COUNTIFS('Clean Data'!$M$2:$M$248,A190)</f>
        <v>0</v>
      </c>
    </row>
    <row r="191" customFormat="false" ht="15" hidden="false" customHeight="false" outlineLevel="0" collapsed="false">
      <c r="A191" s="33" t="n">
        <v>45112</v>
      </c>
      <c r="B191" s="2" t="n">
        <f aca="false">COUNTIFS('Clean Data'!$L$2:$L$248,"&lt;="&amp;A191,'Clean Data'!$M$2:$M$248,"&gt;"&amp;A191)</f>
        <v>7</v>
      </c>
      <c r="C191" s="2" t="n">
        <f aca="false">COUNTIFS('Clean Data'!$L$2:$L$248,A191)</f>
        <v>2</v>
      </c>
      <c r="D191" s="2" t="n">
        <f aca="false">COUNTIFS('Clean Data'!$M$2:$M$248,A191)</f>
        <v>1</v>
      </c>
    </row>
    <row r="192" customFormat="false" ht="15" hidden="false" customHeight="false" outlineLevel="0" collapsed="false">
      <c r="A192" s="33" t="n">
        <v>45113</v>
      </c>
      <c r="B192" s="2" t="n">
        <f aca="false">COUNTIFS('Clean Data'!$L$2:$L$248,"&lt;="&amp;A192,'Clean Data'!$M$2:$M$248,"&gt;"&amp;A192)</f>
        <v>6</v>
      </c>
      <c r="C192" s="2" t="n">
        <f aca="false">COUNTIFS('Clean Data'!$L$2:$L$248,A192)</f>
        <v>0</v>
      </c>
      <c r="D192" s="2" t="n">
        <f aca="false">COUNTIFS('Clean Data'!$M$2:$M$248,A192)</f>
        <v>1</v>
      </c>
    </row>
    <row r="193" customFormat="false" ht="15" hidden="false" customHeight="false" outlineLevel="0" collapsed="false">
      <c r="A193" s="33" t="n">
        <v>45114</v>
      </c>
      <c r="B193" s="2" t="n">
        <f aca="false">COUNTIFS('Clean Data'!$L$2:$L$248,"&lt;="&amp;A193,'Clean Data'!$M$2:$M$248,"&gt;"&amp;A193)</f>
        <v>4</v>
      </c>
      <c r="C193" s="2" t="n">
        <f aca="false">COUNTIFS('Clean Data'!$L$2:$L$248,A193)</f>
        <v>0</v>
      </c>
      <c r="D193" s="2" t="n">
        <f aca="false">COUNTIFS('Clean Data'!$M$2:$M$248,A193)</f>
        <v>2</v>
      </c>
    </row>
    <row r="194" customFormat="false" ht="15" hidden="false" customHeight="false" outlineLevel="0" collapsed="false">
      <c r="A194" s="33" t="n">
        <v>45115</v>
      </c>
      <c r="B194" s="2" t="n">
        <f aca="false">COUNTIFS('Clean Data'!$L$2:$L$248,"&lt;="&amp;A194,'Clean Data'!$M$2:$M$248,"&gt;"&amp;A194)</f>
        <v>3</v>
      </c>
      <c r="C194" s="2" t="n">
        <f aca="false">COUNTIFS('Clean Data'!$L$2:$L$248,A194)</f>
        <v>0</v>
      </c>
      <c r="D194" s="2" t="n">
        <f aca="false">COUNTIFS('Clean Data'!$M$2:$M$248,A194)</f>
        <v>1</v>
      </c>
    </row>
    <row r="195" customFormat="false" ht="15" hidden="false" customHeight="false" outlineLevel="0" collapsed="false">
      <c r="A195" s="33" t="n">
        <v>45116</v>
      </c>
      <c r="B195" s="2" t="n">
        <f aca="false">COUNTIFS('Clean Data'!$L$2:$L$248,"&lt;="&amp;A195,'Clean Data'!$M$2:$M$248,"&gt;"&amp;A195)</f>
        <v>3</v>
      </c>
      <c r="C195" s="2" t="n">
        <f aca="false">COUNTIFS('Clean Data'!$L$2:$L$248,A195)</f>
        <v>0</v>
      </c>
      <c r="D195" s="2" t="n">
        <f aca="false">COUNTIFS('Clean Data'!$M$2:$M$248,A195)</f>
        <v>0</v>
      </c>
    </row>
    <row r="196" customFormat="false" ht="15" hidden="false" customHeight="false" outlineLevel="0" collapsed="false">
      <c r="A196" s="33" t="n">
        <v>45117</v>
      </c>
      <c r="B196" s="2" t="n">
        <f aca="false">COUNTIFS('Clean Data'!$L$2:$L$248,"&lt;="&amp;A196,'Clean Data'!$M$2:$M$248,"&gt;"&amp;A196)</f>
        <v>2</v>
      </c>
      <c r="C196" s="2" t="n">
        <f aca="false">COUNTIFS('Clean Data'!$L$2:$L$248,A196)</f>
        <v>0</v>
      </c>
      <c r="D196" s="2" t="n">
        <f aca="false">COUNTIFS('Clean Data'!$M$2:$M$248,A196)</f>
        <v>1</v>
      </c>
    </row>
    <row r="197" customFormat="false" ht="15" hidden="false" customHeight="false" outlineLevel="0" collapsed="false">
      <c r="A197" s="33" t="n">
        <v>45118</v>
      </c>
      <c r="B197" s="2" t="n">
        <f aca="false">COUNTIFS('Clean Data'!$L$2:$L$248,"&lt;="&amp;A197,'Clean Data'!$M$2:$M$248,"&gt;"&amp;A197)</f>
        <v>3</v>
      </c>
      <c r="C197" s="2" t="n">
        <f aca="false">COUNTIFS('Clean Data'!$L$2:$L$248,A197)</f>
        <v>1</v>
      </c>
      <c r="D197" s="2" t="n">
        <f aca="false">COUNTIFS('Clean Data'!$M$2:$M$248,A197)</f>
        <v>0</v>
      </c>
    </row>
    <row r="198" customFormat="false" ht="15" hidden="false" customHeight="false" outlineLevel="0" collapsed="false">
      <c r="A198" s="33" t="n">
        <v>45119</v>
      </c>
      <c r="B198" s="2" t="n">
        <f aca="false">COUNTIFS('Clean Data'!$L$2:$L$248,"&lt;="&amp;A198,'Clean Data'!$M$2:$M$248,"&gt;"&amp;A198)</f>
        <v>3</v>
      </c>
      <c r="C198" s="2" t="n">
        <f aca="false">COUNTIFS('Clean Data'!$L$2:$L$248,A198)</f>
        <v>1</v>
      </c>
      <c r="D198" s="2" t="n">
        <f aca="false">COUNTIFS('Clean Data'!$M$2:$M$248,A198)</f>
        <v>1</v>
      </c>
    </row>
    <row r="199" customFormat="false" ht="15" hidden="false" customHeight="false" outlineLevel="0" collapsed="false">
      <c r="A199" s="33" t="n">
        <v>45120</v>
      </c>
      <c r="B199" s="2" t="n">
        <f aca="false">COUNTIFS('Clean Data'!$L$2:$L$248,"&lt;="&amp;A199,'Clean Data'!$M$2:$M$248,"&gt;"&amp;A199)</f>
        <v>3</v>
      </c>
      <c r="C199" s="2" t="n">
        <f aca="false">COUNTIFS('Clean Data'!$L$2:$L$248,A199)</f>
        <v>1</v>
      </c>
      <c r="D199" s="2" t="n">
        <f aca="false">COUNTIFS('Clean Data'!$M$2:$M$248,A199)</f>
        <v>1</v>
      </c>
    </row>
    <row r="200" customFormat="false" ht="15" hidden="false" customHeight="false" outlineLevel="0" collapsed="false">
      <c r="A200" s="33" t="n">
        <v>45121</v>
      </c>
      <c r="B200" s="2" t="n">
        <f aca="false">COUNTIFS('Clean Data'!$L$2:$L$248,"&lt;="&amp;A200,'Clean Data'!$M$2:$M$248,"&gt;"&amp;A200)</f>
        <v>4</v>
      </c>
      <c r="C200" s="2" t="n">
        <f aca="false">COUNTIFS('Clean Data'!$L$2:$L$248,A200)</f>
        <v>1</v>
      </c>
      <c r="D200" s="2" t="n">
        <f aca="false">COUNTIFS('Clean Data'!$M$2:$M$248,A200)</f>
        <v>0</v>
      </c>
    </row>
    <row r="201" customFormat="false" ht="15" hidden="false" customHeight="false" outlineLevel="0" collapsed="false">
      <c r="A201" s="33" t="n">
        <v>45122</v>
      </c>
      <c r="B201" s="2" t="n">
        <f aca="false">COUNTIFS('Clean Data'!$L$2:$L$248,"&lt;="&amp;A201,'Clean Data'!$M$2:$M$248,"&gt;"&amp;A201)</f>
        <v>5</v>
      </c>
      <c r="C201" s="2" t="n">
        <f aca="false">COUNTIFS('Clean Data'!$L$2:$L$248,A201)</f>
        <v>1</v>
      </c>
      <c r="D201" s="2" t="n">
        <f aca="false">COUNTIFS('Clean Data'!$M$2:$M$248,A201)</f>
        <v>0</v>
      </c>
    </row>
    <row r="202" customFormat="false" ht="15" hidden="false" customHeight="false" outlineLevel="0" collapsed="false">
      <c r="A202" s="33" t="n">
        <v>45123</v>
      </c>
      <c r="B202" s="2" t="n">
        <f aca="false">COUNTIFS('Clean Data'!$L$2:$L$248,"&lt;="&amp;A202,'Clean Data'!$M$2:$M$248,"&gt;"&amp;A202)</f>
        <v>3</v>
      </c>
      <c r="C202" s="2" t="n">
        <f aca="false">COUNTIFS('Clean Data'!$L$2:$L$248,A202)</f>
        <v>0</v>
      </c>
      <c r="D202" s="2" t="n">
        <f aca="false">COUNTIFS('Clean Data'!$M$2:$M$248,A202)</f>
        <v>2</v>
      </c>
    </row>
    <row r="203" customFormat="false" ht="15" hidden="false" customHeight="false" outlineLevel="0" collapsed="false">
      <c r="A203" s="33" t="n">
        <v>45124</v>
      </c>
      <c r="B203" s="2" t="n">
        <f aca="false">COUNTIFS('Clean Data'!$L$2:$L$248,"&lt;="&amp;A203,'Clean Data'!$M$2:$M$248,"&gt;"&amp;A203)</f>
        <v>2</v>
      </c>
      <c r="C203" s="2" t="n">
        <f aca="false">COUNTIFS('Clean Data'!$L$2:$L$248,A203)</f>
        <v>0</v>
      </c>
      <c r="D203" s="2" t="n">
        <f aca="false">COUNTIFS('Clean Data'!$M$2:$M$248,A203)</f>
        <v>1</v>
      </c>
    </row>
    <row r="204" customFormat="false" ht="15" hidden="false" customHeight="false" outlineLevel="0" collapsed="false">
      <c r="A204" s="33" t="n">
        <v>45125</v>
      </c>
      <c r="B204" s="2" t="n">
        <f aca="false">COUNTIFS('Clean Data'!$L$2:$L$248,"&lt;="&amp;A204,'Clean Data'!$M$2:$M$248,"&gt;"&amp;A204)</f>
        <v>3</v>
      </c>
      <c r="C204" s="2" t="n">
        <f aca="false">COUNTIFS('Clean Data'!$L$2:$L$248,A204)</f>
        <v>2</v>
      </c>
      <c r="D204" s="2" t="n">
        <f aca="false">COUNTIFS('Clean Data'!$M$2:$M$248,A204)</f>
        <v>1</v>
      </c>
    </row>
    <row r="205" customFormat="false" ht="15" hidden="false" customHeight="false" outlineLevel="0" collapsed="false">
      <c r="A205" s="33" t="n">
        <v>45126</v>
      </c>
      <c r="B205" s="2" t="n">
        <f aca="false">COUNTIFS('Clean Data'!$L$2:$L$248,"&lt;="&amp;A205,'Clean Data'!$M$2:$M$248,"&gt;"&amp;A205)</f>
        <v>4</v>
      </c>
      <c r="C205" s="2" t="n">
        <f aca="false">COUNTIFS('Clean Data'!$L$2:$L$248,A205)</f>
        <v>1</v>
      </c>
      <c r="D205" s="2" t="n">
        <f aca="false">COUNTIFS('Clean Data'!$M$2:$M$248,A205)</f>
        <v>0</v>
      </c>
    </row>
    <row r="206" customFormat="false" ht="15" hidden="false" customHeight="false" outlineLevel="0" collapsed="false">
      <c r="A206" s="33" t="n">
        <v>45127</v>
      </c>
      <c r="B206" s="2" t="n">
        <f aca="false">COUNTIFS('Clean Data'!$L$2:$L$248,"&lt;="&amp;A206,'Clean Data'!$M$2:$M$248,"&gt;"&amp;A206)</f>
        <v>5</v>
      </c>
      <c r="C206" s="2" t="n">
        <f aca="false">COUNTIFS('Clean Data'!$L$2:$L$248,A206)</f>
        <v>2</v>
      </c>
      <c r="D206" s="2" t="n">
        <f aca="false">COUNTIFS('Clean Data'!$M$2:$M$248,A206)</f>
        <v>1</v>
      </c>
    </row>
    <row r="207" customFormat="false" ht="15" hidden="false" customHeight="false" outlineLevel="0" collapsed="false">
      <c r="A207" s="33" t="n">
        <v>45128</v>
      </c>
      <c r="B207" s="2" t="n">
        <f aca="false">COUNTIFS('Clean Data'!$L$2:$L$248,"&lt;="&amp;A207,'Clean Data'!$M$2:$M$248,"&gt;"&amp;A207)</f>
        <v>5</v>
      </c>
      <c r="C207" s="2" t="n">
        <f aca="false">COUNTIFS('Clean Data'!$L$2:$L$248,A207)</f>
        <v>1</v>
      </c>
      <c r="D207" s="2" t="n">
        <f aca="false">COUNTIFS('Clean Data'!$M$2:$M$248,A207)</f>
        <v>1</v>
      </c>
    </row>
    <row r="208" customFormat="false" ht="15" hidden="false" customHeight="false" outlineLevel="0" collapsed="false">
      <c r="A208" s="33" t="n">
        <v>45129</v>
      </c>
      <c r="B208" s="2" t="n">
        <f aca="false">COUNTIFS('Clean Data'!$L$2:$L$248,"&lt;="&amp;A208,'Clean Data'!$M$2:$M$248,"&gt;"&amp;A208)</f>
        <v>4</v>
      </c>
      <c r="C208" s="2" t="n">
        <f aca="false">COUNTIFS('Clean Data'!$L$2:$L$248,A208)</f>
        <v>0</v>
      </c>
      <c r="D208" s="2" t="n">
        <f aca="false">COUNTIFS('Clean Data'!$M$2:$M$248,A208)</f>
        <v>1</v>
      </c>
    </row>
    <row r="209" customFormat="false" ht="15" hidden="false" customHeight="false" outlineLevel="0" collapsed="false">
      <c r="A209" s="33" t="n">
        <v>45130</v>
      </c>
      <c r="B209" s="2" t="n">
        <f aca="false">COUNTIFS('Clean Data'!$L$2:$L$248,"&lt;="&amp;A209,'Clean Data'!$M$2:$M$248,"&gt;"&amp;A209)</f>
        <v>4</v>
      </c>
      <c r="C209" s="2" t="n">
        <f aca="false">COUNTIFS('Clean Data'!$L$2:$L$248,A209)</f>
        <v>1</v>
      </c>
      <c r="D209" s="2" t="n">
        <f aca="false">COUNTIFS('Clean Data'!$M$2:$M$248,A209)</f>
        <v>1</v>
      </c>
    </row>
    <row r="210" customFormat="false" ht="15" hidden="false" customHeight="false" outlineLevel="0" collapsed="false">
      <c r="A210" s="33" t="n">
        <v>45131</v>
      </c>
      <c r="B210" s="2" t="n">
        <f aca="false">COUNTIFS('Clean Data'!$L$2:$L$248,"&lt;="&amp;A210,'Clean Data'!$M$2:$M$248,"&gt;"&amp;A210)</f>
        <v>3</v>
      </c>
      <c r="C210" s="2" t="n">
        <f aca="false">COUNTIFS('Clean Data'!$L$2:$L$248,A210)</f>
        <v>0</v>
      </c>
      <c r="D210" s="2" t="n">
        <f aca="false">COUNTIFS('Clean Data'!$M$2:$M$248,A210)</f>
        <v>1</v>
      </c>
    </row>
    <row r="211" customFormat="false" ht="15" hidden="false" customHeight="false" outlineLevel="0" collapsed="false">
      <c r="A211" s="33" t="n">
        <v>45132</v>
      </c>
      <c r="B211" s="2" t="n">
        <f aca="false">COUNTIFS('Clean Data'!$L$2:$L$248,"&lt;="&amp;A211,'Clean Data'!$M$2:$M$248,"&gt;"&amp;A211)</f>
        <v>2</v>
      </c>
      <c r="C211" s="2" t="n">
        <f aca="false">COUNTIFS('Clean Data'!$L$2:$L$248,A211)</f>
        <v>0</v>
      </c>
      <c r="D211" s="2" t="n">
        <f aca="false">COUNTIFS('Clean Data'!$M$2:$M$248,A211)</f>
        <v>1</v>
      </c>
    </row>
    <row r="212" customFormat="false" ht="15" hidden="false" customHeight="false" outlineLevel="0" collapsed="false">
      <c r="A212" s="33" t="n">
        <v>45133</v>
      </c>
      <c r="B212" s="2" t="n">
        <f aca="false">COUNTIFS('Clean Data'!$L$2:$L$248,"&lt;="&amp;A212,'Clean Data'!$M$2:$M$248,"&gt;"&amp;A212)</f>
        <v>4</v>
      </c>
      <c r="C212" s="2" t="n">
        <f aca="false">COUNTIFS('Clean Data'!$L$2:$L$248,A212)</f>
        <v>2</v>
      </c>
      <c r="D212" s="2" t="n">
        <f aca="false">COUNTIFS('Clean Data'!$M$2:$M$248,A212)</f>
        <v>0</v>
      </c>
    </row>
    <row r="213" customFormat="false" ht="15" hidden="false" customHeight="false" outlineLevel="0" collapsed="false">
      <c r="A213" s="33" t="n">
        <v>45134</v>
      </c>
      <c r="B213" s="2" t="n">
        <f aca="false">COUNTIFS('Clean Data'!$L$2:$L$248,"&lt;="&amp;A213,'Clean Data'!$M$2:$M$248,"&gt;"&amp;A213)</f>
        <v>5</v>
      </c>
      <c r="C213" s="2" t="n">
        <f aca="false">COUNTIFS('Clean Data'!$L$2:$L$248,A213)</f>
        <v>1</v>
      </c>
      <c r="D213" s="2" t="n">
        <f aca="false">COUNTIFS('Clean Data'!$M$2:$M$248,A213)</f>
        <v>0</v>
      </c>
    </row>
    <row r="214" customFormat="false" ht="15" hidden="false" customHeight="false" outlineLevel="0" collapsed="false">
      <c r="A214" s="33" t="n">
        <v>45135</v>
      </c>
      <c r="B214" s="2" t="n">
        <f aca="false">COUNTIFS('Clean Data'!$L$2:$L$248,"&lt;="&amp;A214,'Clean Data'!$M$2:$M$248,"&gt;"&amp;A214)</f>
        <v>3</v>
      </c>
      <c r="C214" s="2" t="n">
        <f aca="false">COUNTIFS('Clean Data'!$L$2:$L$248,A214)</f>
        <v>0</v>
      </c>
      <c r="D214" s="2" t="n">
        <f aca="false">COUNTIFS('Clean Data'!$M$2:$M$248,A214)</f>
        <v>2</v>
      </c>
    </row>
    <row r="215" customFormat="false" ht="15" hidden="false" customHeight="false" outlineLevel="0" collapsed="false">
      <c r="A215" s="33" t="n">
        <v>45136</v>
      </c>
      <c r="B215" s="2" t="n">
        <f aca="false">COUNTIFS('Clean Data'!$L$2:$L$248,"&lt;="&amp;A215,'Clean Data'!$M$2:$M$248,"&gt;"&amp;A215)</f>
        <v>2</v>
      </c>
      <c r="C215" s="2" t="n">
        <f aca="false">COUNTIFS('Clean Data'!$L$2:$L$248,A215)</f>
        <v>0</v>
      </c>
      <c r="D215" s="2" t="n">
        <f aca="false">COUNTIFS('Clean Data'!$M$2:$M$248,A215)</f>
        <v>1</v>
      </c>
    </row>
    <row r="216" customFormat="false" ht="15" hidden="false" customHeight="false" outlineLevel="0" collapsed="false">
      <c r="A216" s="33" t="n">
        <v>45137</v>
      </c>
      <c r="B216" s="2" t="n">
        <f aca="false">COUNTIFS('Clean Data'!$L$2:$L$248,"&lt;="&amp;A216,'Clean Data'!$M$2:$M$248,"&gt;"&amp;A216)</f>
        <v>2</v>
      </c>
      <c r="C216" s="2" t="n">
        <f aca="false">COUNTIFS('Clean Data'!$L$2:$L$248,A216)</f>
        <v>0</v>
      </c>
      <c r="D216" s="2" t="n">
        <f aca="false">COUNTIFS('Clean Data'!$M$2:$M$248,A216)</f>
        <v>0</v>
      </c>
    </row>
    <row r="217" customFormat="false" ht="15" hidden="false" customHeight="false" outlineLevel="0" collapsed="false">
      <c r="A217" s="33" t="n">
        <v>45138</v>
      </c>
      <c r="B217" s="2" t="n">
        <f aca="false">COUNTIFS('Clean Data'!$L$2:$L$248,"&lt;="&amp;A217,'Clean Data'!$M$2:$M$248,"&gt;"&amp;A217)</f>
        <v>2</v>
      </c>
      <c r="C217" s="2" t="n">
        <f aca="false">COUNTIFS('Clean Data'!$L$2:$L$248,A217)</f>
        <v>0</v>
      </c>
      <c r="D217" s="2" t="n">
        <f aca="false">COUNTIFS('Clean Data'!$M$2:$M$248,A217)</f>
        <v>0</v>
      </c>
    </row>
    <row r="218" customFormat="false" ht="15" hidden="false" customHeight="false" outlineLevel="0" collapsed="false">
      <c r="A218" s="33" t="n">
        <v>45139</v>
      </c>
      <c r="B218" s="2" t="n">
        <f aca="false">COUNTIFS('Clean Data'!$L$2:$L$248,"&lt;="&amp;A218,'Clean Data'!$M$2:$M$248,"&gt;"&amp;A218)</f>
        <v>3</v>
      </c>
      <c r="C218" s="2" t="n">
        <f aca="false">COUNTIFS('Clean Data'!$L$2:$L$248,A218)</f>
        <v>1</v>
      </c>
      <c r="D218" s="2" t="n">
        <f aca="false">COUNTIFS('Clean Data'!$M$2:$M$248,A218)</f>
        <v>0</v>
      </c>
    </row>
    <row r="219" customFormat="false" ht="15" hidden="false" customHeight="false" outlineLevel="0" collapsed="false">
      <c r="A219" s="33" t="n">
        <v>45140</v>
      </c>
      <c r="B219" s="2" t="n">
        <f aca="false">COUNTIFS('Clean Data'!$L$2:$L$248,"&lt;="&amp;A219,'Clean Data'!$M$2:$M$248,"&gt;"&amp;A219)</f>
        <v>4</v>
      </c>
      <c r="C219" s="2" t="n">
        <f aca="false">COUNTIFS('Clean Data'!$L$2:$L$248,A219)</f>
        <v>1</v>
      </c>
      <c r="D219" s="2" t="n">
        <f aca="false">COUNTIFS('Clean Data'!$M$2:$M$248,A219)</f>
        <v>0</v>
      </c>
    </row>
    <row r="220" customFormat="false" ht="15" hidden="false" customHeight="false" outlineLevel="0" collapsed="false">
      <c r="A220" s="33" t="n">
        <v>45141</v>
      </c>
      <c r="B220" s="2" t="n">
        <f aca="false">COUNTIFS('Clean Data'!$L$2:$L$248,"&lt;="&amp;A220,'Clean Data'!$M$2:$M$248,"&gt;"&amp;A220)</f>
        <v>5</v>
      </c>
      <c r="C220" s="2" t="n">
        <f aca="false">COUNTIFS('Clean Data'!$L$2:$L$248,A220)</f>
        <v>1</v>
      </c>
      <c r="D220" s="2" t="n">
        <f aca="false">COUNTIFS('Clean Data'!$M$2:$M$248,A220)</f>
        <v>0</v>
      </c>
    </row>
    <row r="221" customFormat="false" ht="15" hidden="false" customHeight="false" outlineLevel="0" collapsed="false">
      <c r="A221" s="33" t="n">
        <v>45142</v>
      </c>
      <c r="B221" s="2" t="n">
        <f aca="false">COUNTIFS('Clean Data'!$L$2:$L$248,"&lt;="&amp;A221,'Clean Data'!$M$2:$M$248,"&gt;"&amp;A221)</f>
        <v>3</v>
      </c>
      <c r="C221" s="2" t="n">
        <f aca="false">COUNTIFS('Clean Data'!$L$2:$L$248,A221)</f>
        <v>0</v>
      </c>
      <c r="D221" s="2" t="n">
        <f aca="false">COUNTIFS('Clean Data'!$M$2:$M$248,A221)</f>
        <v>2</v>
      </c>
    </row>
    <row r="222" customFormat="false" ht="15" hidden="false" customHeight="false" outlineLevel="0" collapsed="false">
      <c r="A222" s="33" t="n">
        <v>45143</v>
      </c>
      <c r="B222" s="2" t="n">
        <f aca="false">COUNTIFS('Clean Data'!$L$2:$L$248,"&lt;="&amp;A222,'Clean Data'!$M$2:$M$248,"&gt;"&amp;A222)</f>
        <v>3</v>
      </c>
      <c r="C222" s="2" t="n">
        <f aca="false">COUNTIFS('Clean Data'!$L$2:$L$248,A222)</f>
        <v>0</v>
      </c>
      <c r="D222" s="2" t="n">
        <f aca="false">COUNTIFS('Clean Data'!$M$2:$M$248,A222)</f>
        <v>0</v>
      </c>
    </row>
    <row r="223" customFormat="false" ht="15" hidden="false" customHeight="false" outlineLevel="0" collapsed="false">
      <c r="A223" s="33" t="n">
        <v>45144</v>
      </c>
      <c r="B223" s="2" t="n">
        <f aca="false">COUNTIFS('Clean Data'!$L$2:$L$248,"&lt;="&amp;A223,'Clean Data'!$M$2:$M$248,"&gt;"&amp;A223)</f>
        <v>2</v>
      </c>
      <c r="C223" s="2" t="n">
        <f aca="false">COUNTIFS('Clean Data'!$L$2:$L$248,A223)</f>
        <v>0</v>
      </c>
      <c r="D223" s="2" t="n">
        <f aca="false">COUNTIFS('Clean Data'!$M$2:$M$248,A223)</f>
        <v>1</v>
      </c>
    </row>
    <row r="224" customFormat="false" ht="15" hidden="false" customHeight="false" outlineLevel="0" collapsed="false">
      <c r="A224" s="33" t="n">
        <v>45145</v>
      </c>
      <c r="B224" s="2" t="n">
        <f aca="false">COUNTIFS('Clean Data'!$L$2:$L$248,"&lt;="&amp;A224,'Clean Data'!$M$2:$M$248,"&gt;"&amp;A224)</f>
        <v>2</v>
      </c>
      <c r="C224" s="2" t="n">
        <f aca="false">COUNTIFS('Clean Data'!$L$2:$L$248,A224)</f>
        <v>0</v>
      </c>
      <c r="D224" s="2" t="n">
        <f aca="false">COUNTIFS('Clean Data'!$M$2:$M$248,A224)</f>
        <v>0</v>
      </c>
    </row>
    <row r="225" customFormat="false" ht="15" hidden="false" customHeight="false" outlineLevel="0" collapsed="false">
      <c r="A225" s="33" t="n">
        <v>45146</v>
      </c>
      <c r="B225" s="2" t="n">
        <f aca="false">COUNTIFS('Clean Data'!$L$2:$L$248,"&lt;="&amp;A225,'Clean Data'!$M$2:$M$248,"&gt;"&amp;A225)</f>
        <v>4</v>
      </c>
      <c r="C225" s="2" t="n">
        <f aca="false">COUNTIFS('Clean Data'!$L$2:$L$248,A225)</f>
        <v>3</v>
      </c>
      <c r="D225" s="2" t="n">
        <f aca="false">COUNTIFS('Clean Data'!$M$2:$M$248,A225)</f>
        <v>1</v>
      </c>
    </row>
    <row r="226" customFormat="false" ht="15" hidden="false" customHeight="false" outlineLevel="0" collapsed="false">
      <c r="A226" s="33" t="n">
        <v>45147</v>
      </c>
      <c r="B226" s="2" t="n">
        <f aca="false">COUNTIFS('Clean Data'!$L$2:$L$248,"&lt;="&amp;A226,'Clean Data'!$M$2:$M$248,"&gt;"&amp;A226)</f>
        <v>4</v>
      </c>
      <c r="C226" s="2" t="n">
        <f aca="false">COUNTIFS('Clean Data'!$L$2:$L$248,A226)</f>
        <v>0</v>
      </c>
      <c r="D226" s="2" t="n">
        <f aca="false">COUNTIFS('Clean Data'!$M$2:$M$248,A226)</f>
        <v>0</v>
      </c>
    </row>
    <row r="227" customFormat="false" ht="15" hidden="false" customHeight="false" outlineLevel="0" collapsed="false">
      <c r="A227" s="33" t="n">
        <v>45148</v>
      </c>
      <c r="B227" s="2" t="n">
        <f aca="false">COUNTIFS('Clean Data'!$L$2:$L$248,"&lt;="&amp;A227,'Clean Data'!$M$2:$M$248,"&gt;"&amp;A227)</f>
        <v>5</v>
      </c>
      <c r="C227" s="2" t="n">
        <f aca="false">COUNTIFS('Clean Data'!$L$2:$L$248,A227)</f>
        <v>1</v>
      </c>
      <c r="D227" s="2" t="n">
        <f aca="false">COUNTIFS('Clean Data'!$M$2:$M$248,A227)</f>
        <v>0</v>
      </c>
    </row>
    <row r="228" customFormat="false" ht="15" hidden="false" customHeight="false" outlineLevel="0" collapsed="false">
      <c r="A228" s="33" t="n">
        <v>45149</v>
      </c>
      <c r="B228" s="2" t="n">
        <f aca="false">COUNTIFS('Clean Data'!$L$2:$L$248,"&lt;="&amp;A228,'Clean Data'!$M$2:$M$248,"&gt;"&amp;A228)</f>
        <v>5</v>
      </c>
      <c r="C228" s="2" t="n">
        <f aca="false">COUNTIFS('Clean Data'!$L$2:$L$248,A228)</f>
        <v>0</v>
      </c>
      <c r="D228" s="2" t="n">
        <f aca="false">COUNTIFS('Clean Data'!$M$2:$M$248,A228)</f>
        <v>0</v>
      </c>
    </row>
    <row r="229" customFormat="false" ht="15" hidden="false" customHeight="false" outlineLevel="0" collapsed="false">
      <c r="A229" s="33" t="n">
        <v>45150</v>
      </c>
      <c r="B229" s="2" t="n">
        <f aca="false">COUNTIFS('Clean Data'!$L$2:$L$248,"&lt;="&amp;A229,'Clean Data'!$M$2:$M$248,"&gt;"&amp;A229)</f>
        <v>5</v>
      </c>
      <c r="C229" s="2" t="n">
        <f aca="false">COUNTIFS('Clean Data'!$L$2:$L$248,A229)</f>
        <v>0</v>
      </c>
      <c r="D229" s="2" t="n">
        <f aca="false">COUNTIFS('Clean Data'!$M$2:$M$248,A229)</f>
        <v>0</v>
      </c>
    </row>
    <row r="230" customFormat="false" ht="15" hidden="false" customHeight="false" outlineLevel="0" collapsed="false">
      <c r="A230" s="33" t="n">
        <v>45151</v>
      </c>
      <c r="B230" s="2" t="n">
        <f aca="false">COUNTIFS('Clean Data'!$L$2:$L$248,"&lt;="&amp;A230,'Clean Data'!$M$2:$M$248,"&gt;"&amp;A230)</f>
        <v>4</v>
      </c>
      <c r="C230" s="2" t="n">
        <f aca="false">COUNTIFS('Clean Data'!$L$2:$L$248,A230)</f>
        <v>0</v>
      </c>
      <c r="D230" s="2" t="n">
        <f aca="false">COUNTIFS('Clean Data'!$M$2:$M$248,A230)</f>
        <v>1</v>
      </c>
    </row>
    <row r="231" customFormat="false" ht="15" hidden="false" customHeight="false" outlineLevel="0" collapsed="false">
      <c r="A231" s="33" t="n">
        <v>45152</v>
      </c>
      <c r="B231" s="2" t="n">
        <f aca="false">COUNTIFS('Clean Data'!$L$2:$L$248,"&lt;="&amp;A231,'Clean Data'!$M$2:$M$248,"&gt;"&amp;A231)</f>
        <v>4</v>
      </c>
      <c r="C231" s="2" t="n">
        <f aca="false">COUNTIFS('Clean Data'!$L$2:$L$248,A231)</f>
        <v>0</v>
      </c>
      <c r="D231" s="2" t="n">
        <f aca="false">COUNTIFS('Clean Data'!$M$2:$M$248,A231)</f>
        <v>0</v>
      </c>
    </row>
    <row r="232" customFormat="false" ht="15" hidden="false" customHeight="false" outlineLevel="0" collapsed="false">
      <c r="A232" s="33" t="n">
        <v>45153</v>
      </c>
      <c r="B232" s="2" t="n">
        <f aca="false">COUNTIFS('Clean Data'!$L$2:$L$248,"&lt;="&amp;A232,'Clean Data'!$M$2:$M$248,"&gt;"&amp;A232)</f>
        <v>3</v>
      </c>
      <c r="C232" s="2" t="n">
        <f aca="false">COUNTIFS('Clean Data'!$L$2:$L$248,A232)</f>
        <v>0</v>
      </c>
      <c r="D232" s="2" t="n">
        <f aca="false">COUNTIFS('Clean Data'!$M$2:$M$248,A232)</f>
        <v>1</v>
      </c>
    </row>
    <row r="233" customFormat="false" ht="15" hidden="false" customHeight="false" outlineLevel="0" collapsed="false">
      <c r="A233" s="33" t="n">
        <v>45154</v>
      </c>
      <c r="B233" s="2" t="n">
        <f aca="false">COUNTIFS('Clean Data'!$L$2:$L$248,"&lt;="&amp;A233,'Clean Data'!$M$2:$M$248,"&gt;"&amp;A233)</f>
        <v>3</v>
      </c>
      <c r="C233" s="2" t="n">
        <f aca="false">COUNTIFS('Clean Data'!$L$2:$L$248,A233)</f>
        <v>0</v>
      </c>
      <c r="D233" s="2" t="n">
        <f aca="false">COUNTIFS('Clean Data'!$M$2:$M$248,A233)</f>
        <v>0</v>
      </c>
    </row>
    <row r="234" customFormat="false" ht="15" hidden="false" customHeight="false" outlineLevel="0" collapsed="false">
      <c r="A234" s="33" t="n">
        <v>45155</v>
      </c>
      <c r="B234" s="2" t="n">
        <f aca="false">COUNTIFS('Clean Data'!$L$2:$L$248,"&lt;="&amp;A234,'Clean Data'!$M$2:$M$248,"&gt;"&amp;A234)</f>
        <v>3</v>
      </c>
      <c r="C234" s="2" t="n">
        <f aca="false">COUNTIFS('Clean Data'!$L$2:$L$248,A234)</f>
        <v>0</v>
      </c>
      <c r="D234" s="2" t="n">
        <f aca="false">COUNTIFS('Clean Data'!$M$2:$M$248,A234)</f>
        <v>0</v>
      </c>
    </row>
    <row r="235" customFormat="false" ht="15" hidden="false" customHeight="false" outlineLevel="0" collapsed="false">
      <c r="A235" s="33" t="n">
        <v>45156</v>
      </c>
      <c r="B235" s="2" t="n">
        <f aca="false">COUNTIFS('Clean Data'!$L$2:$L$248,"&lt;="&amp;A235,'Clean Data'!$M$2:$M$248,"&gt;"&amp;A235)</f>
        <v>2</v>
      </c>
      <c r="C235" s="2" t="n">
        <f aca="false">COUNTIFS('Clean Data'!$L$2:$L$248,A235)</f>
        <v>0</v>
      </c>
      <c r="D235" s="2" t="n">
        <f aca="false">COUNTIFS('Clean Data'!$M$2:$M$248,A235)</f>
        <v>1</v>
      </c>
    </row>
    <row r="236" customFormat="false" ht="15" hidden="false" customHeight="false" outlineLevel="0" collapsed="false">
      <c r="A236" s="33" t="n">
        <v>45157</v>
      </c>
      <c r="B236" s="2" t="n">
        <f aca="false">COUNTIFS('Clean Data'!$L$2:$L$248,"&lt;="&amp;A236,'Clean Data'!$M$2:$M$248,"&gt;"&amp;A236)</f>
        <v>3</v>
      </c>
      <c r="C236" s="2" t="n">
        <f aca="false">COUNTIFS('Clean Data'!$L$2:$L$248,A236)</f>
        <v>1</v>
      </c>
      <c r="D236" s="2" t="n">
        <f aca="false">COUNTIFS('Clean Data'!$M$2:$M$248,A236)</f>
        <v>0</v>
      </c>
    </row>
    <row r="237" customFormat="false" ht="15" hidden="false" customHeight="false" outlineLevel="0" collapsed="false">
      <c r="A237" s="33" t="n">
        <v>45158</v>
      </c>
      <c r="B237" s="2" t="n">
        <f aca="false">COUNTIFS('Clean Data'!$L$2:$L$248,"&lt;="&amp;A237,'Clean Data'!$M$2:$M$248,"&gt;"&amp;A237)</f>
        <v>3</v>
      </c>
      <c r="C237" s="2" t="n">
        <f aca="false">COUNTIFS('Clean Data'!$L$2:$L$248,A237)</f>
        <v>1</v>
      </c>
      <c r="D237" s="2" t="n">
        <f aca="false">COUNTIFS('Clean Data'!$M$2:$M$248,A237)</f>
        <v>1</v>
      </c>
    </row>
    <row r="238" customFormat="false" ht="15" hidden="false" customHeight="false" outlineLevel="0" collapsed="false">
      <c r="A238" s="33" t="n">
        <v>45159</v>
      </c>
      <c r="B238" s="2" t="n">
        <f aca="false">COUNTIFS('Clean Data'!$L$2:$L$248,"&lt;="&amp;A238,'Clean Data'!$M$2:$M$248,"&gt;"&amp;A238)</f>
        <v>3</v>
      </c>
      <c r="C238" s="2" t="n">
        <f aca="false">COUNTIFS('Clean Data'!$L$2:$L$248,A238)</f>
        <v>0</v>
      </c>
      <c r="D238" s="2" t="n">
        <f aca="false">COUNTIFS('Clean Data'!$M$2:$M$248,A238)</f>
        <v>0</v>
      </c>
    </row>
    <row r="239" customFormat="false" ht="15" hidden="false" customHeight="false" outlineLevel="0" collapsed="false">
      <c r="A239" s="33" t="n">
        <v>45160</v>
      </c>
      <c r="B239" s="2" t="n">
        <f aca="false">COUNTIFS('Clean Data'!$L$2:$L$248,"&lt;="&amp;A239,'Clean Data'!$M$2:$M$248,"&gt;"&amp;A239)</f>
        <v>3</v>
      </c>
      <c r="C239" s="2" t="n">
        <f aca="false">COUNTIFS('Clean Data'!$L$2:$L$248,A239)</f>
        <v>0</v>
      </c>
      <c r="D239" s="2" t="n">
        <f aca="false">COUNTIFS('Clean Data'!$M$2:$M$248,A239)</f>
        <v>0</v>
      </c>
    </row>
    <row r="240" customFormat="false" ht="15" hidden="false" customHeight="false" outlineLevel="0" collapsed="false">
      <c r="A240" s="33" t="n">
        <v>45161</v>
      </c>
      <c r="B240" s="2" t="n">
        <f aca="false">COUNTIFS('Clean Data'!$L$2:$L$248,"&lt;="&amp;A240,'Clean Data'!$M$2:$M$248,"&gt;"&amp;A240)</f>
        <v>1</v>
      </c>
      <c r="C240" s="2" t="n">
        <f aca="false">COUNTIFS('Clean Data'!$L$2:$L$248,A240)</f>
        <v>0</v>
      </c>
      <c r="D240" s="2" t="n">
        <f aca="false">COUNTIFS('Clean Data'!$M$2:$M$248,A240)</f>
        <v>2</v>
      </c>
    </row>
    <row r="241" customFormat="false" ht="15" hidden="false" customHeight="false" outlineLevel="0" collapsed="false">
      <c r="A241" s="33" t="n">
        <v>45162</v>
      </c>
      <c r="B241" s="2" t="n">
        <f aca="false">COUNTIFS('Clean Data'!$L$2:$L$248,"&lt;="&amp;A241,'Clean Data'!$M$2:$M$248,"&gt;"&amp;A241)</f>
        <v>1</v>
      </c>
      <c r="C241" s="2" t="n">
        <f aca="false">COUNTIFS('Clean Data'!$L$2:$L$248,A241)</f>
        <v>0</v>
      </c>
      <c r="D241" s="2" t="n">
        <f aca="false">COUNTIFS('Clean Data'!$M$2:$M$248,A241)</f>
        <v>0</v>
      </c>
    </row>
    <row r="242" customFormat="false" ht="15" hidden="false" customHeight="false" outlineLevel="0" collapsed="false">
      <c r="A242" s="33" t="n">
        <v>45163</v>
      </c>
      <c r="B242" s="2" t="n">
        <f aca="false">COUNTIFS('Clean Data'!$L$2:$L$248,"&lt;="&amp;A242,'Clean Data'!$M$2:$M$248,"&gt;"&amp;A242)</f>
        <v>2</v>
      </c>
      <c r="C242" s="2" t="n">
        <f aca="false">COUNTIFS('Clean Data'!$L$2:$L$248,A242)</f>
        <v>1</v>
      </c>
      <c r="D242" s="2" t="n">
        <f aca="false">COUNTIFS('Clean Data'!$M$2:$M$248,A242)</f>
        <v>0</v>
      </c>
    </row>
    <row r="243" customFormat="false" ht="15" hidden="false" customHeight="false" outlineLevel="0" collapsed="false">
      <c r="A243" s="33" t="n">
        <v>45164</v>
      </c>
      <c r="B243" s="2" t="n">
        <f aca="false">COUNTIFS('Clean Data'!$L$2:$L$248,"&lt;="&amp;A243,'Clean Data'!$M$2:$M$248,"&gt;"&amp;A243)</f>
        <v>2</v>
      </c>
      <c r="C243" s="2" t="n">
        <f aca="false">COUNTIFS('Clean Data'!$L$2:$L$248,A243)</f>
        <v>0</v>
      </c>
      <c r="D243" s="2" t="n">
        <f aca="false">COUNTIFS('Clean Data'!$M$2:$M$248,A243)</f>
        <v>0</v>
      </c>
    </row>
    <row r="244" customFormat="false" ht="15" hidden="false" customHeight="false" outlineLevel="0" collapsed="false">
      <c r="A244" s="33" t="n">
        <v>45165</v>
      </c>
      <c r="B244" s="2" t="n">
        <f aca="false">COUNTIFS('Clean Data'!$L$2:$L$248,"&lt;="&amp;A244,'Clean Data'!$M$2:$M$248,"&gt;"&amp;A244)</f>
        <v>2</v>
      </c>
      <c r="C244" s="2" t="n">
        <f aca="false">COUNTIFS('Clean Data'!$L$2:$L$248,A244)</f>
        <v>0</v>
      </c>
      <c r="D244" s="2" t="n">
        <f aca="false">COUNTIFS('Clean Data'!$M$2:$M$248,A244)</f>
        <v>0</v>
      </c>
    </row>
    <row r="245" customFormat="false" ht="15" hidden="false" customHeight="false" outlineLevel="0" collapsed="false">
      <c r="A245" s="33" t="n">
        <v>45166</v>
      </c>
      <c r="B245" s="2" t="n">
        <f aca="false">COUNTIFS('Clean Data'!$L$2:$L$248,"&lt;="&amp;A245,'Clean Data'!$M$2:$M$248,"&gt;"&amp;A245)</f>
        <v>2</v>
      </c>
      <c r="C245" s="2" t="n">
        <f aca="false">COUNTIFS('Clean Data'!$L$2:$L$248,A245)</f>
        <v>0</v>
      </c>
      <c r="D245" s="2" t="n">
        <f aca="false">COUNTIFS('Clean Data'!$M$2:$M$248,A245)</f>
        <v>0</v>
      </c>
    </row>
    <row r="246" customFormat="false" ht="15" hidden="false" customHeight="false" outlineLevel="0" collapsed="false">
      <c r="A246" s="33" t="n">
        <v>45167</v>
      </c>
      <c r="B246" s="2" t="n">
        <f aca="false">COUNTIFS('Clean Data'!$L$2:$L$248,"&lt;="&amp;A246,'Clean Data'!$M$2:$M$248,"&gt;"&amp;A246)</f>
        <v>1</v>
      </c>
      <c r="C246" s="2" t="n">
        <f aca="false">COUNTIFS('Clean Data'!$L$2:$L$248,A246)</f>
        <v>0</v>
      </c>
      <c r="D246" s="2" t="n">
        <f aca="false">COUNTIFS('Clean Data'!$M$2:$M$248,A246)</f>
        <v>1</v>
      </c>
    </row>
    <row r="247" customFormat="false" ht="15" hidden="false" customHeight="false" outlineLevel="0" collapsed="false">
      <c r="A247" s="33" t="n">
        <v>45168</v>
      </c>
      <c r="B247" s="2" t="n">
        <f aca="false">COUNTIFS('Clean Data'!$L$2:$L$248,"&lt;="&amp;A247,'Clean Data'!$M$2:$M$248,"&gt;"&amp;A247)</f>
        <v>1</v>
      </c>
      <c r="C247" s="2" t="n">
        <f aca="false">COUNTIFS('Clean Data'!$L$2:$L$248,A247)</f>
        <v>0</v>
      </c>
      <c r="D247" s="2" t="n">
        <f aca="false">COUNTIFS('Clean Data'!$M$2:$M$248,A247)</f>
        <v>0</v>
      </c>
    </row>
    <row r="248" customFormat="false" ht="15" hidden="false" customHeight="false" outlineLevel="0" collapsed="false">
      <c r="A248" s="33" t="n">
        <v>45169</v>
      </c>
      <c r="B248" s="2" t="n">
        <f aca="false">COUNTIFS('Clean Data'!$L$2:$L$248,"&lt;="&amp;A248,'Clean Data'!$M$2:$M$248,"&gt;"&amp;A248)</f>
        <v>1</v>
      </c>
      <c r="C248" s="2" t="n">
        <f aca="false">COUNTIFS('Clean Data'!$L$2:$L$248,A248)</f>
        <v>0</v>
      </c>
      <c r="D248" s="2" t="n">
        <f aca="false">COUNTIFS('Clean Data'!$M$2:$M$248,A248)</f>
        <v>0</v>
      </c>
    </row>
    <row r="249" customFormat="false" ht="15" hidden="false" customHeight="false" outlineLevel="0" collapsed="false">
      <c r="A249" s="33" t="n">
        <v>45170</v>
      </c>
      <c r="B249" s="2" t="n">
        <f aca="false">COUNTIFS('Clean Data'!$L$2:$L$248,"&lt;="&amp;A249,'Clean Data'!$M$2:$M$248,"&gt;"&amp;A249)</f>
        <v>1</v>
      </c>
      <c r="C249" s="2" t="n">
        <f aca="false">COUNTIFS('Clean Data'!$L$2:$L$248,A249)</f>
        <v>0</v>
      </c>
      <c r="D249" s="2" t="n">
        <f aca="false">COUNTIFS('Clean Data'!$M$2:$M$248,A249)</f>
        <v>0</v>
      </c>
    </row>
    <row r="250" customFormat="false" ht="15" hidden="false" customHeight="false" outlineLevel="0" collapsed="false">
      <c r="A250" s="33" t="n">
        <v>45171</v>
      </c>
      <c r="B250" s="2" t="n">
        <f aca="false">COUNTIFS('Clean Data'!$L$2:$L$248,"&lt;="&amp;A250,'Clean Data'!$M$2:$M$248,"&gt;"&amp;A250)</f>
        <v>2</v>
      </c>
      <c r="C250" s="2" t="n">
        <f aca="false">COUNTIFS('Clean Data'!$L$2:$L$248,A250)</f>
        <v>1</v>
      </c>
      <c r="D250" s="2" t="n">
        <f aca="false">COUNTIFS('Clean Data'!$M$2:$M$248,A250)</f>
        <v>0</v>
      </c>
    </row>
    <row r="251" customFormat="false" ht="15" hidden="false" customHeight="false" outlineLevel="0" collapsed="false">
      <c r="A251" s="33" t="n">
        <v>45172</v>
      </c>
      <c r="B251" s="2" t="n">
        <f aca="false">COUNTIFS('Clean Data'!$L$2:$L$248,"&lt;="&amp;A251,'Clean Data'!$M$2:$M$248,"&gt;"&amp;A251)</f>
        <v>3</v>
      </c>
      <c r="C251" s="2" t="n">
        <f aca="false">COUNTIFS('Clean Data'!$L$2:$L$248,A251)</f>
        <v>1</v>
      </c>
      <c r="D251" s="2" t="n">
        <f aca="false">COUNTIFS('Clean Data'!$M$2:$M$248,A251)</f>
        <v>0</v>
      </c>
    </row>
    <row r="252" customFormat="false" ht="15" hidden="false" customHeight="false" outlineLevel="0" collapsed="false">
      <c r="A252" s="33" t="n">
        <v>45173</v>
      </c>
      <c r="B252" s="2" t="n">
        <f aca="false">COUNTIFS('Clean Data'!$L$2:$L$248,"&lt;="&amp;A252,'Clean Data'!$M$2:$M$248,"&gt;"&amp;A252)</f>
        <v>3</v>
      </c>
      <c r="C252" s="2" t="n">
        <f aca="false">COUNTIFS('Clean Data'!$L$2:$L$248,A252)</f>
        <v>0</v>
      </c>
      <c r="D252" s="2" t="n">
        <f aca="false">COUNTIFS('Clean Data'!$M$2:$M$248,A252)</f>
        <v>0</v>
      </c>
    </row>
    <row r="253" customFormat="false" ht="15" hidden="false" customHeight="false" outlineLevel="0" collapsed="false">
      <c r="A253" s="33" t="n">
        <v>45174</v>
      </c>
      <c r="B253" s="2" t="n">
        <f aca="false">COUNTIFS('Clean Data'!$L$2:$L$248,"&lt;="&amp;A253,'Clean Data'!$M$2:$M$248,"&gt;"&amp;A253)</f>
        <v>4</v>
      </c>
      <c r="C253" s="2" t="n">
        <f aca="false">COUNTIFS('Clean Data'!$L$2:$L$248,A253)</f>
        <v>1</v>
      </c>
      <c r="D253" s="2" t="n">
        <f aca="false">COUNTIFS('Clean Data'!$M$2:$M$248,A253)</f>
        <v>0</v>
      </c>
    </row>
    <row r="254" customFormat="false" ht="15" hidden="false" customHeight="false" outlineLevel="0" collapsed="false">
      <c r="A254" s="33" t="n">
        <v>45175</v>
      </c>
      <c r="B254" s="2" t="n">
        <f aca="false">COUNTIFS('Clean Data'!$L$2:$L$248,"&lt;="&amp;A254,'Clean Data'!$M$2:$M$248,"&gt;"&amp;A254)</f>
        <v>3</v>
      </c>
      <c r="C254" s="2" t="n">
        <f aca="false">COUNTIFS('Clean Data'!$L$2:$L$248,A254)</f>
        <v>0</v>
      </c>
      <c r="D254" s="2" t="n">
        <f aca="false">COUNTIFS('Clean Data'!$M$2:$M$248,A254)</f>
        <v>1</v>
      </c>
    </row>
    <row r="255" customFormat="false" ht="15" hidden="false" customHeight="false" outlineLevel="0" collapsed="false">
      <c r="A255" s="33" t="n">
        <v>45176</v>
      </c>
      <c r="B255" s="2" t="n">
        <f aca="false">COUNTIFS('Clean Data'!$L$2:$L$248,"&lt;="&amp;A255,'Clean Data'!$M$2:$M$248,"&gt;"&amp;A255)</f>
        <v>3</v>
      </c>
      <c r="C255" s="2" t="n">
        <f aca="false">COUNTIFS('Clean Data'!$L$2:$L$248,A255)</f>
        <v>0</v>
      </c>
      <c r="D255" s="2" t="n">
        <f aca="false">COUNTIFS('Clean Data'!$M$2:$M$248,A255)</f>
        <v>0</v>
      </c>
    </row>
    <row r="256" customFormat="false" ht="15" hidden="false" customHeight="false" outlineLevel="0" collapsed="false">
      <c r="A256" s="33" t="n">
        <v>45177</v>
      </c>
      <c r="B256" s="2" t="n">
        <f aca="false">COUNTIFS('Clean Data'!$L$2:$L$248,"&lt;="&amp;A256,'Clean Data'!$M$2:$M$248,"&gt;"&amp;A256)</f>
        <v>4</v>
      </c>
      <c r="C256" s="2" t="n">
        <f aca="false">COUNTIFS('Clean Data'!$L$2:$L$248,A256)</f>
        <v>1</v>
      </c>
      <c r="D256" s="2" t="n">
        <f aca="false">COUNTIFS('Clean Data'!$M$2:$M$248,A256)</f>
        <v>0</v>
      </c>
    </row>
    <row r="257" customFormat="false" ht="15" hidden="false" customHeight="false" outlineLevel="0" collapsed="false">
      <c r="A257" s="33" t="n">
        <v>45178</v>
      </c>
      <c r="B257" s="2" t="n">
        <f aca="false">COUNTIFS('Clean Data'!$L$2:$L$248,"&lt;="&amp;A257,'Clean Data'!$M$2:$M$248,"&gt;"&amp;A257)</f>
        <v>3</v>
      </c>
      <c r="C257" s="2" t="n">
        <f aca="false">COUNTIFS('Clean Data'!$L$2:$L$248,A257)</f>
        <v>1</v>
      </c>
      <c r="D257" s="2" t="n">
        <f aca="false">COUNTIFS('Clean Data'!$M$2:$M$248,A257)</f>
        <v>2</v>
      </c>
    </row>
    <row r="258" customFormat="false" ht="15" hidden="false" customHeight="false" outlineLevel="0" collapsed="false">
      <c r="A258" s="33" t="n">
        <v>45179</v>
      </c>
      <c r="B258" s="2" t="n">
        <f aca="false">COUNTIFS('Clean Data'!$L$2:$L$248,"&lt;="&amp;A258,'Clean Data'!$M$2:$M$248,"&gt;"&amp;A258)</f>
        <v>3</v>
      </c>
      <c r="C258" s="2" t="n">
        <f aca="false">COUNTIFS('Clean Data'!$L$2:$L$248,A258)</f>
        <v>0</v>
      </c>
      <c r="D258" s="2" t="n">
        <f aca="false">COUNTIFS('Clean Data'!$M$2:$M$248,A258)</f>
        <v>0</v>
      </c>
    </row>
    <row r="259" customFormat="false" ht="15" hidden="false" customHeight="false" outlineLevel="0" collapsed="false">
      <c r="A259" s="33" t="n">
        <v>45180</v>
      </c>
      <c r="B259" s="2" t="n">
        <f aca="false">COUNTIFS('Clean Data'!$L$2:$L$248,"&lt;="&amp;A259,'Clean Data'!$M$2:$M$248,"&gt;"&amp;A259)</f>
        <v>4</v>
      </c>
      <c r="C259" s="2" t="n">
        <f aca="false">COUNTIFS('Clean Data'!$L$2:$L$248,A259)</f>
        <v>1</v>
      </c>
      <c r="D259" s="2" t="n">
        <f aca="false">COUNTIFS('Clean Data'!$M$2:$M$248,A259)</f>
        <v>0</v>
      </c>
    </row>
    <row r="260" customFormat="false" ht="15" hidden="false" customHeight="false" outlineLevel="0" collapsed="false">
      <c r="A260" s="33" t="n">
        <v>45181</v>
      </c>
      <c r="B260" s="2" t="n">
        <f aca="false">COUNTIFS('Clean Data'!$L$2:$L$248,"&lt;="&amp;A260,'Clean Data'!$M$2:$M$248,"&gt;"&amp;A260)</f>
        <v>4</v>
      </c>
      <c r="C260" s="2" t="n">
        <f aca="false">COUNTIFS('Clean Data'!$L$2:$L$248,A260)</f>
        <v>0</v>
      </c>
      <c r="D260" s="2" t="n">
        <f aca="false">COUNTIFS('Clean Data'!$M$2:$M$248,A260)</f>
        <v>0</v>
      </c>
    </row>
    <row r="261" customFormat="false" ht="15" hidden="false" customHeight="false" outlineLevel="0" collapsed="false">
      <c r="A261" s="33" t="n">
        <v>45182</v>
      </c>
      <c r="B261" s="2" t="n">
        <f aca="false">COUNTIFS('Clean Data'!$L$2:$L$248,"&lt;="&amp;A261,'Clean Data'!$M$2:$M$248,"&gt;"&amp;A261)</f>
        <v>4</v>
      </c>
      <c r="C261" s="2" t="n">
        <f aca="false">COUNTIFS('Clean Data'!$L$2:$L$248,A261)</f>
        <v>1</v>
      </c>
      <c r="D261" s="2" t="n">
        <f aca="false">COUNTIFS('Clean Data'!$M$2:$M$248,A261)</f>
        <v>1</v>
      </c>
    </row>
    <row r="262" customFormat="false" ht="15" hidden="false" customHeight="false" outlineLevel="0" collapsed="false">
      <c r="A262" s="33" t="n">
        <v>45183</v>
      </c>
      <c r="B262" s="2" t="n">
        <f aca="false">COUNTIFS('Clean Data'!$L$2:$L$248,"&lt;="&amp;A262,'Clean Data'!$M$2:$M$248,"&gt;"&amp;A262)</f>
        <v>2</v>
      </c>
      <c r="C262" s="2" t="n">
        <f aca="false">COUNTIFS('Clean Data'!$L$2:$L$248,A262)</f>
        <v>0</v>
      </c>
      <c r="D262" s="2" t="n">
        <f aca="false">COUNTIFS('Clean Data'!$M$2:$M$248,A262)</f>
        <v>2</v>
      </c>
    </row>
    <row r="263" customFormat="false" ht="15" hidden="false" customHeight="false" outlineLevel="0" collapsed="false">
      <c r="A263" s="33" t="n">
        <v>45184</v>
      </c>
      <c r="B263" s="2" t="n">
        <f aca="false">COUNTIFS('Clean Data'!$L$2:$L$248,"&lt;="&amp;A263,'Clean Data'!$M$2:$M$248,"&gt;"&amp;A263)</f>
        <v>2</v>
      </c>
      <c r="C263" s="2" t="n">
        <f aca="false">COUNTIFS('Clean Data'!$L$2:$L$248,A263)</f>
        <v>0</v>
      </c>
      <c r="D263" s="2" t="n">
        <f aca="false">COUNTIFS('Clean Data'!$M$2:$M$248,A263)</f>
        <v>0</v>
      </c>
    </row>
    <row r="264" customFormat="false" ht="15" hidden="false" customHeight="false" outlineLevel="0" collapsed="false">
      <c r="A264" s="33" t="n">
        <v>45185</v>
      </c>
      <c r="B264" s="2" t="n">
        <f aca="false">COUNTIFS('Clean Data'!$L$2:$L$248,"&lt;="&amp;A264,'Clean Data'!$M$2:$M$248,"&gt;"&amp;A264)</f>
        <v>2</v>
      </c>
      <c r="C264" s="2" t="n">
        <f aca="false">COUNTIFS('Clean Data'!$L$2:$L$248,A264)</f>
        <v>0</v>
      </c>
      <c r="D264" s="2" t="n">
        <f aca="false">COUNTIFS('Clean Data'!$M$2:$M$248,A264)</f>
        <v>0</v>
      </c>
    </row>
    <row r="265" customFormat="false" ht="15" hidden="false" customHeight="false" outlineLevel="0" collapsed="false">
      <c r="A265" s="33" t="n">
        <v>45186</v>
      </c>
      <c r="B265" s="2" t="n">
        <f aca="false">COUNTIFS('Clean Data'!$L$2:$L$248,"&lt;="&amp;A265,'Clean Data'!$M$2:$M$248,"&gt;"&amp;A265)</f>
        <v>2</v>
      </c>
      <c r="C265" s="2" t="n">
        <f aca="false">COUNTIFS('Clean Data'!$L$2:$L$248,A265)</f>
        <v>0</v>
      </c>
      <c r="D265" s="2" t="n">
        <f aca="false">COUNTIFS('Clean Data'!$M$2:$M$248,A265)</f>
        <v>0</v>
      </c>
    </row>
    <row r="266" customFormat="false" ht="15" hidden="false" customHeight="false" outlineLevel="0" collapsed="false">
      <c r="A266" s="33" t="n">
        <v>45187</v>
      </c>
      <c r="B266" s="2" t="n">
        <f aca="false">COUNTIFS('Clean Data'!$L$2:$L$248,"&lt;="&amp;A266,'Clean Data'!$M$2:$M$248,"&gt;"&amp;A266)</f>
        <v>4</v>
      </c>
      <c r="C266" s="2" t="n">
        <f aca="false">COUNTIFS('Clean Data'!$L$2:$L$248,A266)</f>
        <v>2</v>
      </c>
      <c r="D266" s="2" t="n">
        <f aca="false">COUNTIFS('Clean Data'!$M$2:$M$248,A266)</f>
        <v>0</v>
      </c>
    </row>
    <row r="267" customFormat="false" ht="15" hidden="false" customHeight="false" outlineLevel="0" collapsed="false">
      <c r="A267" s="33" t="n">
        <v>45188</v>
      </c>
      <c r="B267" s="2" t="n">
        <f aca="false">COUNTIFS('Clean Data'!$L$2:$L$248,"&lt;="&amp;A267,'Clean Data'!$M$2:$M$248,"&gt;"&amp;A267)</f>
        <v>4</v>
      </c>
      <c r="C267" s="2" t="n">
        <f aca="false">COUNTIFS('Clean Data'!$L$2:$L$248,A267)</f>
        <v>0</v>
      </c>
      <c r="D267" s="2" t="n">
        <f aca="false">COUNTIFS('Clean Data'!$M$2:$M$248,A267)</f>
        <v>0</v>
      </c>
    </row>
    <row r="268" customFormat="false" ht="15" hidden="false" customHeight="false" outlineLevel="0" collapsed="false">
      <c r="A268" s="33" t="n">
        <v>45189</v>
      </c>
      <c r="B268" s="2" t="n">
        <f aca="false">COUNTIFS('Clean Data'!$L$2:$L$248,"&lt;="&amp;A268,'Clean Data'!$M$2:$M$248,"&gt;"&amp;A268)</f>
        <v>4</v>
      </c>
      <c r="C268" s="2" t="n">
        <f aca="false">COUNTIFS('Clean Data'!$L$2:$L$248,A268)</f>
        <v>0</v>
      </c>
      <c r="D268" s="2" t="n">
        <f aca="false">COUNTIFS('Clean Data'!$M$2:$M$248,A268)</f>
        <v>0</v>
      </c>
    </row>
    <row r="269" customFormat="false" ht="15" hidden="false" customHeight="false" outlineLevel="0" collapsed="false">
      <c r="A269" s="33" t="n">
        <v>45190</v>
      </c>
      <c r="B269" s="2" t="n">
        <f aca="false">COUNTIFS('Clean Data'!$L$2:$L$248,"&lt;="&amp;A269,'Clean Data'!$M$2:$M$248,"&gt;"&amp;A269)</f>
        <v>5</v>
      </c>
      <c r="C269" s="2" t="n">
        <f aca="false">COUNTIFS('Clean Data'!$L$2:$L$248,A269)</f>
        <v>1</v>
      </c>
      <c r="D269" s="2" t="n">
        <f aca="false">COUNTIFS('Clean Data'!$M$2:$M$248,A269)</f>
        <v>0</v>
      </c>
    </row>
    <row r="270" customFormat="false" ht="15" hidden="false" customHeight="false" outlineLevel="0" collapsed="false">
      <c r="A270" s="33" t="n">
        <v>45191</v>
      </c>
      <c r="B270" s="2" t="n">
        <f aca="false">COUNTIFS('Clean Data'!$L$2:$L$248,"&lt;="&amp;A270,'Clean Data'!$M$2:$M$248,"&gt;"&amp;A270)</f>
        <v>4</v>
      </c>
      <c r="C270" s="2" t="n">
        <f aca="false">COUNTIFS('Clean Data'!$L$2:$L$248,A270)</f>
        <v>0</v>
      </c>
      <c r="D270" s="2" t="n">
        <f aca="false">COUNTIFS('Clean Data'!$M$2:$M$248,A270)</f>
        <v>1</v>
      </c>
    </row>
    <row r="271" customFormat="false" ht="15" hidden="false" customHeight="false" outlineLevel="0" collapsed="false">
      <c r="A271" s="33" t="n">
        <v>45192</v>
      </c>
      <c r="B271" s="2" t="n">
        <f aca="false">COUNTIFS('Clean Data'!$L$2:$L$248,"&lt;="&amp;A271,'Clean Data'!$M$2:$M$248,"&gt;"&amp;A271)</f>
        <v>5</v>
      </c>
      <c r="C271" s="2" t="n">
        <f aca="false">COUNTIFS('Clean Data'!$L$2:$L$248,A271)</f>
        <v>1</v>
      </c>
      <c r="D271" s="2" t="n">
        <f aca="false">COUNTIFS('Clean Data'!$M$2:$M$248,A271)</f>
        <v>0</v>
      </c>
    </row>
    <row r="272" customFormat="false" ht="15" hidden="false" customHeight="false" outlineLevel="0" collapsed="false">
      <c r="A272" s="33" t="n">
        <v>45193</v>
      </c>
      <c r="B272" s="2" t="n">
        <f aca="false">COUNTIFS('Clean Data'!$L$2:$L$248,"&lt;="&amp;A272,'Clean Data'!$M$2:$M$248,"&gt;"&amp;A272)</f>
        <v>4</v>
      </c>
      <c r="C272" s="2" t="n">
        <f aca="false">COUNTIFS('Clean Data'!$L$2:$L$248,A272)</f>
        <v>0</v>
      </c>
      <c r="D272" s="2" t="n">
        <f aca="false">COUNTIFS('Clean Data'!$M$2:$M$248,A272)</f>
        <v>1</v>
      </c>
    </row>
    <row r="273" customFormat="false" ht="15" hidden="false" customHeight="false" outlineLevel="0" collapsed="false">
      <c r="A273" s="33" t="n">
        <v>45194</v>
      </c>
      <c r="B273" s="2" t="n">
        <f aca="false">COUNTIFS('Clean Data'!$L$2:$L$248,"&lt;="&amp;A273,'Clean Data'!$M$2:$M$248,"&gt;"&amp;A273)</f>
        <v>3</v>
      </c>
      <c r="C273" s="2" t="n">
        <f aca="false">COUNTIFS('Clean Data'!$L$2:$L$248,A273)</f>
        <v>1</v>
      </c>
      <c r="D273" s="2" t="n">
        <f aca="false">COUNTIFS('Clean Data'!$M$2:$M$248,A273)</f>
        <v>2</v>
      </c>
    </row>
    <row r="274" customFormat="false" ht="15" hidden="false" customHeight="false" outlineLevel="0" collapsed="false">
      <c r="A274" s="33" t="n">
        <v>45195</v>
      </c>
      <c r="B274" s="2" t="n">
        <f aca="false">COUNTIFS('Clean Data'!$L$2:$L$248,"&lt;="&amp;A274,'Clean Data'!$M$2:$M$248,"&gt;"&amp;A274)</f>
        <v>5</v>
      </c>
      <c r="C274" s="2" t="n">
        <f aca="false">COUNTIFS('Clean Data'!$L$2:$L$248,A274)</f>
        <v>2</v>
      </c>
      <c r="D274" s="2" t="n">
        <f aca="false">COUNTIFS('Clean Data'!$M$2:$M$248,A274)</f>
        <v>0</v>
      </c>
    </row>
    <row r="275" customFormat="false" ht="15" hidden="false" customHeight="false" outlineLevel="0" collapsed="false">
      <c r="A275" s="33" t="n">
        <v>45196</v>
      </c>
      <c r="B275" s="2" t="n">
        <f aca="false">COUNTIFS('Clean Data'!$L$2:$L$248,"&lt;="&amp;A275,'Clean Data'!$M$2:$M$248,"&gt;"&amp;A275)</f>
        <v>4</v>
      </c>
      <c r="C275" s="2" t="n">
        <f aca="false">COUNTIFS('Clean Data'!$L$2:$L$248,A275)</f>
        <v>0</v>
      </c>
      <c r="D275" s="2" t="n">
        <f aca="false">COUNTIFS('Clean Data'!$M$2:$M$248,A275)</f>
        <v>1</v>
      </c>
    </row>
    <row r="276" customFormat="false" ht="15" hidden="false" customHeight="false" outlineLevel="0" collapsed="false">
      <c r="A276" s="33" t="n">
        <v>45197</v>
      </c>
      <c r="B276" s="2" t="n">
        <f aca="false">COUNTIFS('Clean Data'!$L$2:$L$248,"&lt;="&amp;A276,'Clean Data'!$M$2:$M$248,"&gt;"&amp;A276)</f>
        <v>4</v>
      </c>
      <c r="C276" s="2" t="n">
        <f aca="false">COUNTIFS('Clean Data'!$L$2:$L$248,A276)</f>
        <v>1</v>
      </c>
      <c r="D276" s="2" t="n">
        <f aca="false">COUNTIFS('Clean Data'!$M$2:$M$248,A276)</f>
        <v>1</v>
      </c>
    </row>
    <row r="277" customFormat="false" ht="15" hidden="false" customHeight="false" outlineLevel="0" collapsed="false">
      <c r="A277" s="33" t="n">
        <v>45198</v>
      </c>
      <c r="B277" s="2" t="n">
        <f aca="false">COUNTIFS('Clean Data'!$L$2:$L$248,"&lt;="&amp;A277,'Clean Data'!$M$2:$M$248,"&gt;"&amp;A277)</f>
        <v>4</v>
      </c>
      <c r="C277" s="2" t="n">
        <f aca="false">COUNTIFS('Clean Data'!$L$2:$L$248,A277)</f>
        <v>0</v>
      </c>
      <c r="D277" s="2" t="n">
        <f aca="false">COUNTIFS('Clean Data'!$M$2:$M$248,A277)</f>
        <v>0</v>
      </c>
    </row>
    <row r="278" customFormat="false" ht="15" hidden="false" customHeight="false" outlineLevel="0" collapsed="false">
      <c r="A278" s="33" t="n">
        <v>45199</v>
      </c>
      <c r="B278" s="2" t="n">
        <f aca="false">COUNTIFS('Clean Data'!$L$2:$L$248,"&lt;="&amp;A278,'Clean Data'!$M$2:$M$248,"&gt;"&amp;A278)</f>
        <v>3</v>
      </c>
      <c r="C278" s="2" t="n">
        <f aca="false">COUNTIFS('Clean Data'!$L$2:$L$248,A278)</f>
        <v>0</v>
      </c>
      <c r="D278" s="2" t="n">
        <f aca="false">COUNTIFS('Clean Data'!$M$2:$M$248,A278)</f>
        <v>1</v>
      </c>
    </row>
    <row r="279" customFormat="false" ht="15" hidden="false" customHeight="false" outlineLevel="0" collapsed="false">
      <c r="A279" s="33" t="n">
        <v>45200</v>
      </c>
      <c r="B279" s="2" t="n">
        <f aca="false">COUNTIFS('Clean Data'!$L$2:$L$248,"&lt;="&amp;A279,'Clean Data'!$M$2:$M$248,"&gt;"&amp;A279)</f>
        <v>4</v>
      </c>
      <c r="C279" s="2" t="n">
        <f aca="false">COUNTIFS('Clean Data'!$L$2:$L$248,A279)</f>
        <v>1</v>
      </c>
      <c r="D279" s="2" t="n">
        <f aca="false">COUNTIFS('Clean Data'!$M$2:$M$248,A279)</f>
        <v>0</v>
      </c>
    </row>
    <row r="280" customFormat="false" ht="15" hidden="false" customHeight="false" outlineLevel="0" collapsed="false">
      <c r="A280" s="33" t="n">
        <v>45201</v>
      </c>
      <c r="B280" s="2" t="n">
        <f aca="false">COUNTIFS('Clean Data'!$L$2:$L$248,"&lt;="&amp;A280,'Clean Data'!$M$2:$M$248,"&gt;"&amp;A280)</f>
        <v>4</v>
      </c>
      <c r="C280" s="2" t="n">
        <f aca="false">COUNTIFS('Clean Data'!$L$2:$L$248,A280)</f>
        <v>2</v>
      </c>
      <c r="D280" s="2" t="n">
        <f aca="false">COUNTIFS('Clean Data'!$M$2:$M$248,A280)</f>
        <v>2</v>
      </c>
    </row>
    <row r="281" customFormat="false" ht="15" hidden="false" customHeight="false" outlineLevel="0" collapsed="false">
      <c r="A281" s="33" t="n">
        <v>45202</v>
      </c>
      <c r="B281" s="2" t="n">
        <f aca="false">COUNTIFS('Clean Data'!$L$2:$L$248,"&lt;="&amp;A281,'Clean Data'!$M$2:$M$248,"&gt;"&amp;A281)</f>
        <v>2</v>
      </c>
      <c r="C281" s="2" t="n">
        <f aca="false">COUNTIFS('Clean Data'!$L$2:$L$248,A281)</f>
        <v>1</v>
      </c>
      <c r="D281" s="2" t="n">
        <f aca="false">COUNTIFS('Clean Data'!$M$2:$M$248,A281)</f>
        <v>3</v>
      </c>
    </row>
    <row r="282" customFormat="false" ht="15" hidden="false" customHeight="false" outlineLevel="0" collapsed="false">
      <c r="A282" s="33" t="n">
        <v>45203</v>
      </c>
      <c r="B282" s="2" t="n">
        <f aca="false">COUNTIFS('Clean Data'!$L$2:$L$248,"&lt;="&amp;A282,'Clean Data'!$M$2:$M$248,"&gt;"&amp;A282)</f>
        <v>6</v>
      </c>
      <c r="C282" s="2" t="n">
        <f aca="false">COUNTIFS('Clean Data'!$L$2:$L$248,A282)</f>
        <v>4</v>
      </c>
      <c r="D282" s="2" t="n">
        <f aca="false">COUNTIFS('Clean Data'!$M$2:$M$248,A282)</f>
        <v>0</v>
      </c>
    </row>
    <row r="283" customFormat="false" ht="15" hidden="false" customHeight="false" outlineLevel="0" collapsed="false">
      <c r="A283" s="33" t="n">
        <v>45204</v>
      </c>
      <c r="B283" s="2" t="n">
        <f aca="false">COUNTIFS('Clean Data'!$L$2:$L$248,"&lt;="&amp;A283,'Clean Data'!$M$2:$M$248,"&gt;"&amp;A283)</f>
        <v>5</v>
      </c>
      <c r="C283" s="2" t="n">
        <f aca="false">COUNTIFS('Clean Data'!$L$2:$L$248,A283)</f>
        <v>0</v>
      </c>
      <c r="D283" s="2" t="n">
        <f aca="false">COUNTIFS('Clean Data'!$M$2:$M$248,A283)</f>
        <v>1</v>
      </c>
    </row>
    <row r="284" customFormat="false" ht="15" hidden="false" customHeight="false" outlineLevel="0" collapsed="false">
      <c r="A284" s="33" t="n">
        <v>45205</v>
      </c>
      <c r="B284" s="2" t="n">
        <f aca="false">COUNTIFS('Clean Data'!$L$2:$L$248,"&lt;="&amp;A284,'Clean Data'!$M$2:$M$248,"&gt;"&amp;A284)</f>
        <v>3</v>
      </c>
      <c r="C284" s="2" t="n">
        <f aca="false">COUNTIFS('Clean Data'!$L$2:$L$248,A284)</f>
        <v>0</v>
      </c>
      <c r="D284" s="2" t="n">
        <f aca="false">COUNTIFS('Clean Data'!$M$2:$M$248,A284)</f>
        <v>2</v>
      </c>
    </row>
    <row r="285" customFormat="false" ht="15" hidden="false" customHeight="false" outlineLevel="0" collapsed="false">
      <c r="A285" s="33" t="n">
        <v>45206</v>
      </c>
      <c r="B285" s="2" t="n">
        <f aca="false">COUNTIFS('Clean Data'!$L$2:$L$248,"&lt;="&amp;A285,'Clean Data'!$M$2:$M$248,"&gt;"&amp;A285)</f>
        <v>5</v>
      </c>
      <c r="C285" s="2" t="n">
        <f aca="false">COUNTIFS('Clean Data'!$L$2:$L$248,A285)</f>
        <v>2</v>
      </c>
      <c r="D285" s="2" t="n">
        <f aca="false">COUNTIFS('Clean Data'!$M$2:$M$248,A285)</f>
        <v>0</v>
      </c>
    </row>
    <row r="286" customFormat="false" ht="15" hidden="false" customHeight="false" outlineLevel="0" collapsed="false">
      <c r="A286" s="33" t="n">
        <v>45207</v>
      </c>
      <c r="B286" s="2" t="n">
        <f aca="false">COUNTIFS('Clean Data'!$L$2:$L$248,"&lt;="&amp;A286,'Clean Data'!$M$2:$M$248,"&gt;"&amp;A286)</f>
        <v>5</v>
      </c>
      <c r="C286" s="2" t="n">
        <f aca="false">COUNTIFS('Clean Data'!$L$2:$L$248,A286)</f>
        <v>1</v>
      </c>
      <c r="D286" s="2" t="n">
        <f aca="false">COUNTIFS('Clean Data'!$M$2:$M$248,A286)</f>
        <v>1</v>
      </c>
    </row>
    <row r="287" customFormat="false" ht="15" hidden="false" customHeight="false" outlineLevel="0" collapsed="false">
      <c r="A287" s="33" t="n">
        <v>45208</v>
      </c>
      <c r="B287" s="2" t="n">
        <f aca="false">COUNTIFS('Clean Data'!$L$2:$L$248,"&lt;="&amp;A287,'Clean Data'!$M$2:$M$248,"&gt;"&amp;A287)</f>
        <v>8</v>
      </c>
      <c r="C287" s="2" t="n">
        <f aca="false">COUNTIFS('Clean Data'!$L$2:$L$248,A287)</f>
        <v>4</v>
      </c>
      <c r="D287" s="2" t="n">
        <f aca="false">COUNTIFS('Clean Data'!$M$2:$M$248,A287)</f>
        <v>1</v>
      </c>
    </row>
    <row r="288" customFormat="false" ht="15" hidden="false" customHeight="false" outlineLevel="0" collapsed="false">
      <c r="A288" s="33" t="n">
        <v>45209</v>
      </c>
      <c r="B288" s="2" t="n">
        <f aca="false">COUNTIFS('Clean Data'!$L$2:$L$248,"&lt;="&amp;A288,'Clean Data'!$M$2:$M$248,"&gt;"&amp;A288)</f>
        <v>8</v>
      </c>
      <c r="C288" s="2" t="n">
        <f aca="false">COUNTIFS('Clean Data'!$L$2:$L$248,A288)</f>
        <v>1</v>
      </c>
      <c r="D288" s="2" t="n">
        <f aca="false">COUNTIFS('Clean Data'!$M$2:$M$248,A288)</f>
        <v>1</v>
      </c>
    </row>
    <row r="289" customFormat="false" ht="15" hidden="false" customHeight="false" outlineLevel="0" collapsed="false">
      <c r="A289" s="33" t="n">
        <v>45210</v>
      </c>
      <c r="B289" s="2" t="n">
        <f aca="false">COUNTIFS('Clean Data'!$L$2:$L$248,"&lt;="&amp;A289,'Clean Data'!$M$2:$M$248,"&gt;"&amp;A289)</f>
        <v>8</v>
      </c>
      <c r="C289" s="2" t="n">
        <f aca="false">COUNTIFS('Clean Data'!$L$2:$L$248,A289)</f>
        <v>0</v>
      </c>
      <c r="D289" s="2" t="n">
        <f aca="false">COUNTIFS('Clean Data'!$M$2:$M$248,A289)</f>
        <v>0</v>
      </c>
    </row>
    <row r="290" customFormat="false" ht="15" hidden="false" customHeight="false" outlineLevel="0" collapsed="false">
      <c r="A290" s="33" t="n">
        <v>45211</v>
      </c>
      <c r="B290" s="2" t="n">
        <f aca="false">COUNTIFS('Clean Data'!$L$2:$L$248,"&lt;="&amp;A290,'Clean Data'!$M$2:$M$248,"&gt;"&amp;A290)</f>
        <v>9</v>
      </c>
      <c r="C290" s="2" t="n">
        <f aca="false">COUNTIFS('Clean Data'!$L$2:$L$248,A290)</f>
        <v>2</v>
      </c>
      <c r="D290" s="2" t="n">
        <f aca="false">COUNTIFS('Clean Data'!$M$2:$M$248,A290)</f>
        <v>1</v>
      </c>
    </row>
    <row r="291" customFormat="false" ht="15" hidden="false" customHeight="false" outlineLevel="0" collapsed="false">
      <c r="A291" s="33" t="n">
        <v>45212</v>
      </c>
      <c r="B291" s="2" t="n">
        <f aca="false">COUNTIFS('Clean Data'!$L$2:$L$248,"&lt;="&amp;A291,'Clean Data'!$M$2:$M$248,"&gt;"&amp;A291)</f>
        <v>8</v>
      </c>
      <c r="C291" s="2" t="n">
        <f aca="false">COUNTIFS('Clean Data'!$L$2:$L$248,A291)</f>
        <v>1</v>
      </c>
      <c r="D291" s="2" t="n">
        <f aca="false">COUNTIFS('Clean Data'!$M$2:$M$248,A291)</f>
        <v>2</v>
      </c>
    </row>
    <row r="292" customFormat="false" ht="15" hidden="false" customHeight="false" outlineLevel="0" collapsed="false">
      <c r="A292" s="33" t="n">
        <v>45213</v>
      </c>
      <c r="B292" s="2" t="n">
        <f aca="false">COUNTIFS('Clean Data'!$L$2:$L$248,"&lt;="&amp;A292,'Clean Data'!$M$2:$M$248,"&gt;"&amp;A292)</f>
        <v>6</v>
      </c>
      <c r="C292" s="2" t="n">
        <f aca="false">COUNTIFS('Clean Data'!$L$2:$L$248,A292)</f>
        <v>0</v>
      </c>
      <c r="D292" s="2" t="n">
        <f aca="false">COUNTIFS('Clean Data'!$M$2:$M$248,A292)</f>
        <v>2</v>
      </c>
    </row>
    <row r="293" customFormat="false" ht="15" hidden="false" customHeight="false" outlineLevel="0" collapsed="false">
      <c r="A293" s="33" t="n">
        <v>45214</v>
      </c>
      <c r="B293" s="2" t="n">
        <f aca="false">COUNTIFS('Clean Data'!$L$2:$L$248,"&lt;="&amp;A293,'Clean Data'!$M$2:$M$248,"&gt;"&amp;A293)</f>
        <v>4</v>
      </c>
      <c r="C293" s="2" t="n">
        <f aca="false">COUNTIFS('Clean Data'!$L$2:$L$248,A293)</f>
        <v>0</v>
      </c>
      <c r="D293" s="2" t="n">
        <f aca="false">COUNTIFS('Clean Data'!$M$2:$M$248,A293)</f>
        <v>2</v>
      </c>
    </row>
    <row r="294" customFormat="false" ht="15" hidden="false" customHeight="false" outlineLevel="0" collapsed="false">
      <c r="A294" s="33" t="n">
        <v>45215</v>
      </c>
      <c r="B294" s="2" t="n">
        <f aca="false">COUNTIFS('Clean Data'!$L$2:$L$248,"&lt;="&amp;A294,'Clean Data'!$M$2:$M$248,"&gt;"&amp;A294)</f>
        <v>4</v>
      </c>
      <c r="C294" s="2" t="n">
        <f aca="false">COUNTIFS('Clean Data'!$L$2:$L$248,A294)</f>
        <v>0</v>
      </c>
      <c r="D294" s="2" t="n">
        <f aca="false">COUNTIFS('Clean Data'!$M$2:$M$248,A294)</f>
        <v>0</v>
      </c>
    </row>
    <row r="295" customFormat="false" ht="15" hidden="false" customHeight="false" outlineLevel="0" collapsed="false">
      <c r="A295" s="33" t="n">
        <v>45216</v>
      </c>
      <c r="B295" s="2" t="n">
        <f aca="false">COUNTIFS('Clean Data'!$L$2:$L$248,"&lt;="&amp;A295,'Clean Data'!$M$2:$M$248,"&gt;"&amp;A295)</f>
        <v>5</v>
      </c>
      <c r="C295" s="2" t="n">
        <f aca="false">COUNTIFS('Clean Data'!$L$2:$L$248,A295)</f>
        <v>1</v>
      </c>
      <c r="D295" s="2" t="n">
        <f aca="false">COUNTIFS('Clean Data'!$M$2:$M$248,A295)</f>
        <v>0</v>
      </c>
    </row>
    <row r="296" customFormat="false" ht="15" hidden="false" customHeight="false" outlineLevel="0" collapsed="false">
      <c r="A296" s="33" t="n">
        <v>45217</v>
      </c>
      <c r="B296" s="2" t="n">
        <f aca="false">COUNTIFS('Clean Data'!$L$2:$L$248,"&lt;="&amp;A296,'Clean Data'!$M$2:$M$248,"&gt;"&amp;A296)</f>
        <v>7</v>
      </c>
      <c r="C296" s="2" t="n">
        <f aca="false">COUNTIFS('Clean Data'!$L$2:$L$248,A296)</f>
        <v>2</v>
      </c>
      <c r="D296" s="2" t="n">
        <f aca="false">COUNTIFS('Clean Data'!$M$2:$M$248,A296)</f>
        <v>0</v>
      </c>
    </row>
    <row r="297" customFormat="false" ht="15" hidden="false" customHeight="false" outlineLevel="0" collapsed="false">
      <c r="A297" s="33" t="n">
        <v>45218</v>
      </c>
      <c r="B297" s="2" t="n">
        <f aca="false">COUNTIFS('Clean Data'!$L$2:$L$248,"&lt;="&amp;A297,'Clean Data'!$M$2:$M$248,"&gt;"&amp;A297)</f>
        <v>8</v>
      </c>
      <c r="C297" s="2" t="n">
        <f aca="false">COUNTIFS('Clean Data'!$L$2:$L$248,A297)</f>
        <v>1</v>
      </c>
      <c r="D297" s="2" t="n">
        <f aca="false">COUNTIFS('Clean Data'!$M$2:$M$248,A297)</f>
        <v>0</v>
      </c>
    </row>
    <row r="298" customFormat="false" ht="15" hidden="false" customHeight="false" outlineLevel="0" collapsed="false">
      <c r="A298" s="33" t="n">
        <v>45219</v>
      </c>
      <c r="B298" s="2" t="n">
        <f aca="false">COUNTIFS('Clean Data'!$L$2:$L$248,"&lt;="&amp;A298,'Clean Data'!$M$2:$M$248,"&gt;"&amp;A298)</f>
        <v>6</v>
      </c>
      <c r="C298" s="2" t="n">
        <f aca="false">COUNTIFS('Clean Data'!$L$2:$L$248,A298)</f>
        <v>0</v>
      </c>
      <c r="D298" s="2" t="n">
        <f aca="false">COUNTIFS('Clean Data'!$M$2:$M$248,A298)</f>
        <v>2</v>
      </c>
    </row>
    <row r="299" customFormat="false" ht="15" hidden="false" customHeight="false" outlineLevel="0" collapsed="false">
      <c r="A299" s="33" t="n">
        <v>45220</v>
      </c>
      <c r="B299" s="2" t="n">
        <f aca="false">COUNTIFS('Clean Data'!$L$2:$L$248,"&lt;="&amp;A299,'Clean Data'!$M$2:$M$248,"&gt;"&amp;A299)</f>
        <v>5</v>
      </c>
      <c r="C299" s="2" t="n">
        <f aca="false">COUNTIFS('Clean Data'!$L$2:$L$248,A299)</f>
        <v>0</v>
      </c>
      <c r="D299" s="2" t="n">
        <f aca="false">COUNTIFS('Clean Data'!$M$2:$M$248,A299)</f>
        <v>1</v>
      </c>
    </row>
    <row r="300" customFormat="false" ht="15" hidden="false" customHeight="false" outlineLevel="0" collapsed="false">
      <c r="A300" s="33" t="n">
        <v>45221</v>
      </c>
      <c r="B300" s="2" t="n">
        <f aca="false">COUNTIFS('Clean Data'!$L$2:$L$248,"&lt;="&amp;A300,'Clean Data'!$M$2:$M$248,"&gt;"&amp;A300)</f>
        <v>5</v>
      </c>
      <c r="C300" s="2" t="n">
        <f aca="false">COUNTIFS('Clean Data'!$L$2:$L$248,A300)</f>
        <v>1</v>
      </c>
      <c r="D300" s="2" t="n">
        <f aca="false">COUNTIFS('Clean Data'!$M$2:$M$248,A300)</f>
        <v>1</v>
      </c>
    </row>
    <row r="301" customFormat="false" ht="15" hidden="false" customHeight="false" outlineLevel="0" collapsed="false">
      <c r="A301" s="33" t="n">
        <v>45222</v>
      </c>
      <c r="B301" s="2" t="n">
        <f aca="false">COUNTIFS('Clean Data'!$L$2:$L$248,"&lt;="&amp;A301,'Clean Data'!$M$2:$M$248,"&gt;"&amp;A301)</f>
        <v>4</v>
      </c>
      <c r="C301" s="2" t="n">
        <f aca="false">COUNTIFS('Clean Data'!$L$2:$L$248,A301)</f>
        <v>0</v>
      </c>
      <c r="D301" s="2" t="n">
        <f aca="false">COUNTIFS('Clean Data'!$M$2:$M$248,A301)</f>
        <v>1</v>
      </c>
    </row>
    <row r="302" customFormat="false" ht="15" hidden="false" customHeight="false" outlineLevel="0" collapsed="false">
      <c r="A302" s="33" t="n">
        <v>45223</v>
      </c>
      <c r="B302" s="2" t="n">
        <f aca="false">COUNTIFS('Clean Data'!$L$2:$L$248,"&lt;="&amp;A302,'Clean Data'!$M$2:$M$248,"&gt;"&amp;A302)</f>
        <v>3</v>
      </c>
      <c r="C302" s="2" t="n">
        <f aca="false">COUNTIFS('Clean Data'!$L$2:$L$248,A302)</f>
        <v>0</v>
      </c>
      <c r="D302" s="2" t="n">
        <f aca="false">COUNTIFS('Clean Data'!$M$2:$M$248,A302)</f>
        <v>1</v>
      </c>
    </row>
    <row r="303" customFormat="false" ht="15" hidden="false" customHeight="false" outlineLevel="0" collapsed="false">
      <c r="A303" s="33" t="n">
        <v>45224</v>
      </c>
      <c r="B303" s="2" t="n">
        <f aca="false">COUNTIFS('Clean Data'!$L$2:$L$248,"&lt;="&amp;A303,'Clean Data'!$M$2:$M$248,"&gt;"&amp;A303)</f>
        <v>2</v>
      </c>
      <c r="C303" s="2" t="n">
        <f aca="false">COUNTIFS('Clean Data'!$L$2:$L$248,A303)</f>
        <v>1</v>
      </c>
      <c r="D303" s="2" t="n">
        <f aca="false">COUNTIFS('Clean Data'!$M$2:$M$248,A303)</f>
        <v>2</v>
      </c>
    </row>
    <row r="304" customFormat="false" ht="15" hidden="false" customHeight="false" outlineLevel="0" collapsed="false">
      <c r="A304" s="33" t="n">
        <v>45225</v>
      </c>
      <c r="B304" s="2" t="n">
        <f aca="false">COUNTIFS('Clean Data'!$L$2:$L$248,"&lt;="&amp;A304,'Clean Data'!$M$2:$M$248,"&gt;"&amp;A304)</f>
        <v>4</v>
      </c>
      <c r="C304" s="2" t="n">
        <f aca="false">COUNTIFS('Clean Data'!$L$2:$L$248,A304)</f>
        <v>2</v>
      </c>
      <c r="D304" s="2" t="n">
        <f aca="false">COUNTIFS('Clean Data'!$M$2:$M$248,A304)</f>
        <v>0</v>
      </c>
    </row>
    <row r="305" customFormat="false" ht="15" hidden="false" customHeight="false" outlineLevel="0" collapsed="false">
      <c r="A305" s="33" t="n">
        <v>45226</v>
      </c>
      <c r="B305" s="2" t="n">
        <f aca="false">COUNTIFS('Clean Data'!$L$2:$L$248,"&lt;="&amp;A305,'Clean Data'!$M$2:$M$248,"&gt;"&amp;A305)</f>
        <v>3</v>
      </c>
      <c r="C305" s="2" t="n">
        <f aca="false">COUNTIFS('Clean Data'!$L$2:$L$248,A305)</f>
        <v>0</v>
      </c>
      <c r="D305" s="2" t="n">
        <f aca="false">COUNTIFS('Clean Data'!$M$2:$M$248,A305)</f>
        <v>1</v>
      </c>
    </row>
    <row r="306" customFormat="false" ht="15" hidden="false" customHeight="false" outlineLevel="0" collapsed="false">
      <c r="A306" s="33" t="n">
        <v>45227</v>
      </c>
      <c r="B306" s="2" t="n">
        <f aca="false">COUNTIFS('Clean Data'!$L$2:$L$248,"&lt;="&amp;A306,'Clean Data'!$M$2:$M$248,"&gt;"&amp;A306)</f>
        <v>3</v>
      </c>
      <c r="C306" s="2" t="n">
        <f aca="false">COUNTIFS('Clean Data'!$L$2:$L$248,A306)</f>
        <v>0</v>
      </c>
      <c r="D306" s="2" t="n">
        <f aca="false">COUNTIFS('Clean Data'!$M$2:$M$248,A306)</f>
        <v>0</v>
      </c>
    </row>
    <row r="307" customFormat="false" ht="15" hidden="false" customHeight="false" outlineLevel="0" collapsed="false">
      <c r="A307" s="33" t="n">
        <v>45228</v>
      </c>
      <c r="B307" s="2" t="n">
        <f aca="false">COUNTIFS('Clean Data'!$L$2:$L$248,"&lt;="&amp;A307,'Clean Data'!$M$2:$M$248,"&gt;"&amp;A307)</f>
        <v>4</v>
      </c>
      <c r="C307" s="2" t="n">
        <f aca="false">COUNTIFS('Clean Data'!$L$2:$L$248,A307)</f>
        <v>1</v>
      </c>
      <c r="D307" s="2" t="n">
        <f aca="false">COUNTIFS('Clean Data'!$M$2:$M$248,A307)</f>
        <v>0</v>
      </c>
    </row>
    <row r="308" customFormat="false" ht="15" hidden="false" customHeight="false" outlineLevel="0" collapsed="false">
      <c r="A308" s="33" t="n">
        <v>45229</v>
      </c>
      <c r="B308" s="2" t="n">
        <f aca="false">COUNTIFS('Clean Data'!$L$2:$L$248,"&lt;="&amp;A308,'Clean Data'!$M$2:$M$248,"&gt;"&amp;A308)</f>
        <v>4</v>
      </c>
      <c r="C308" s="2" t="n">
        <f aca="false">COUNTIFS('Clean Data'!$L$2:$L$248,A308)</f>
        <v>0</v>
      </c>
      <c r="D308" s="2" t="n">
        <f aca="false">COUNTIFS('Clean Data'!$M$2:$M$248,A308)</f>
        <v>0</v>
      </c>
    </row>
    <row r="309" customFormat="false" ht="15" hidden="false" customHeight="false" outlineLevel="0" collapsed="false">
      <c r="A309" s="33" t="n">
        <v>45230</v>
      </c>
      <c r="B309" s="2" t="n">
        <f aca="false">COUNTIFS('Clean Data'!$L$2:$L$248,"&lt;="&amp;A309,'Clean Data'!$M$2:$M$248,"&gt;"&amp;A309)</f>
        <v>3</v>
      </c>
      <c r="C309" s="2" t="n">
        <f aca="false">COUNTIFS('Clean Data'!$L$2:$L$248,A309)</f>
        <v>0</v>
      </c>
      <c r="D309" s="2" t="n">
        <f aca="false">COUNTIFS('Clean Data'!$M$2:$M$248,A309)</f>
        <v>1</v>
      </c>
    </row>
    <row r="310" customFormat="false" ht="15" hidden="false" customHeight="false" outlineLevel="0" collapsed="false">
      <c r="A310" s="33" t="n">
        <v>45231</v>
      </c>
      <c r="B310" s="2" t="n">
        <f aca="false">COUNTIFS('Clean Data'!$L$2:$L$248,"&lt;="&amp;A310,'Clean Data'!$M$2:$M$248,"&gt;"&amp;A310)</f>
        <v>3</v>
      </c>
      <c r="C310" s="2" t="n">
        <f aca="false">COUNTIFS('Clean Data'!$L$2:$L$248,A310)</f>
        <v>1</v>
      </c>
      <c r="D310" s="2" t="n">
        <f aca="false">COUNTIFS('Clean Data'!$M$2:$M$248,A310)</f>
        <v>1</v>
      </c>
    </row>
    <row r="311" customFormat="false" ht="15" hidden="false" customHeight="false" outlineLevel="0" collapsed="false">
      <c r="A311" s="33" t="n">
        <v>45232</v>
      </c>
      <c r="B311" s="2" t="n">
        <f aca="false">COUNTIFS('Clean Data'!$L$2:$L$248,"&lt;="&amp;A311,'Clean Data'!$M$2:$M$248,"&gt;"&amp;A311)</f>
        <v>3</v>
      </c>
      <c r="C311" s="2" t="n">
        <f aca="false">COUNTIFS('Clean Data'!$L$2:$L$248,A311)</f>
        <v>0</v>
      </c>
      <c r="D311" s="2" t="n">
        <f aca="false">COUNTIFS('Clean Data'!$M$2:$M$248,A311)</f>
        <v>0</v>
      </c>
    </row>
    <row r="312" customFormat="false" ht="15" hidden="false" customHeight="false" outlineLevel="0" collapsed="false">
      <c r="A312" s="33" t="n">
        <v>45233</v>
      </c>
      <c r="B312" s="2" t="n">
        <f aca="false">COUNTIFS('Clean Data'!$L$2:$L$248,"&lt;="&amp;A312,'Clean Data'!$M$2:$M$248,"&gt;"&amp;A312)</f>
        <v>3</v>
      </c>
      <c r="C312" s="2" t="n">
        <f aca="false">COUNTIFS('Clean Data'!$L$2:$L$248,A312)</f>
        <v>0</v>
      </c>
      <c r="D312" s="2" t="n">
        <f aca="false">COUNTIFS('Clean Data'!$M$2:$M$248,A312)</f>
        <v>0</v>
      </c>
    </row>
    <row r="313" customFormat="false" ht="15" hidden="false" customHeight="false" outlineLevel="0" collapsed="false">
      <c r="A313" s="33" t="n">
        <v>45234</v>
      </c>
      <c r="B313" s="2" t="n">
        <f aca="false">COUNTIFS('Clean Data'!$L$2:$L$248,"&lt;="&amp;A313,'Clean Data'!$M$2:$M$248,"&gt;"&amp;A313)</f>
        <v>3</v>
      </c>
      <c r="C313" s="2" t="n">
        <f aca="false">COUNTIFS('Clean Data'!$L$2:$L$248,A313)</f>
        <v>1</v>
      </c>
      <c r="D313" s="2" t="n">
        <f aca="false">COUNTIFS('Clean Data'!$M$2:$M$248,A313)</f>
        <v>1</v>
      </c>
    </row>
    <row r="314" customFormat="false" ht="15" hidden="false" customHeight="false" outlineLevel="0" collapsed="false">
      <c r="A314" s="33" t="n">
        <v>45235</v>
      </c>
      <c r="B314" s="2" t="n">
        <f aca="false">COUNTIFS('Clean Data'!$L$2:$L$248,"&lt;="&amp;A314,'Clean Data'!$M$2:$M$248,"&gt;"&amp;A314)</f>
        <v>6</v>
      </c>
      <c r="C314" s="2" t="n">
        <f aca="false">COUNTIFS('Clean Data'!$L$2:$L$248,A314)</f>
        <v>3</v>
      </c>
      <c r="D314" s="2" t="n">
        <f aca="false">COUNTIFS('Clean Data'!$M$2:$M$248,A314)</f>
        <v>0</v>
      </c>
    </row>
    <row r="315" customFormat="false" ht="15" hidden="false" customHeight="false" outlineLevel="0" collapsed="false">
      <c r="A315" s="33" t="n">
        <v>45236</v>
      </c>
      <c r="B315" s="2" t="n">
        <f aca="false">COUNTIFS('Clean Data'!$L$2:$L$248,"&lt;="&amp;A315,'Clean Data'!$M$2:$M$248,"&gt;"&amp;A315)</f>
        <v>5</v>
      </c>
      <c r="C315" s="2" t="n">
        <f aca="false">COUNTIFS('Clean Data'!$L$2:$L$248,A315)</f>
        <v>0</v>
      </c>
      <c r="D315" s="2" t="n">
        <f aca="false">COUNTIFS('Clean Data'!$M$2:$M$248,A315)</f>
        <v>1</v>
      </c>
    </row>
    <row r="316" customFormat="false" ht="15" hidden="false" customHeight="false" outlineLevel="0" collapsed="false">
      <c r="A316" s="33" t="n">
        <v>45237</v>
      </c>
      <c r="B316" s="2" t="n">
        <f aca="false">COUNTIFS('Clean Data'!$L$2:$L$248,"&lt;="&amp;A316,'Clean Data'!$M$2:$M$248,"&gt;"&amp;A316)</f>
        <v>4</v>
      </c>
      <c r="C316" s="2" t="n">
        <f aca="false">COUNTIFS('Clean Data'!$L$2:$L$248,A316)</f>
        <v>0</v>
      </c>
      <c r="D316" s="2" t="n">
        <f aca="false">COUNTIFS('Clean Data'!$M$2:$M$248,A316)</f>
        <v>1</v>
      </c>
    </row>
    <row r="317" customFormat="false" ht="15" hidden="false" customHeight="false" outlineLevel="0" collapsed="false">
      <c r="A317" s="33" t="n">
        <v>45238</v>
      </c>
      <c r="B317" s="2" t="n">
        <f aca="false">COUNTIFS('Clean Data'!$L$2:$L$248,"&lt;="&amp;A317,'Clean Data'!$M$2:$M$248,"&gt;"&amp;A317)</f>
        <v>3</v>
      </c>
      <c r="C317" s="2" t="n">
        <f aca="false">COUNTIFS('Clean Data'!$L$2:$L$248,A317)</f>
        <v>0</v>
      </c>
      <c r="D317" s="2" t="n">
        <f aca="false">COUNTIFS('Clean Data'!$M$2:$M$248,A317)</f>
        <v>1</v>
      </c>
    </row>
    <row r="318" customFormat="false" ht="15" hidden="false" customHeight="false" outlineLevel="0" collapsed="false">
      <c r="A318" s="33" t="n">
        <v>45239</v>
      </c>
      <c r="B318" s="2" t="n">
        <f aca="false">COUNTIFS('Clean Data'!$L$2:$L$248,"&lt;="&amp;A318,'Clean Data'!$M$2:$M$248,"&gt;"&amp;A318)</f>
        <v>3</v>
      </c>
      <c r="C318" s="2" t="n">
        <f aca="false">COUNTIFS('Clean Data'!$L$2:$L$248,A318)</f>
        <v>0</v>
      </c>
      <c r="D318" s="2" t="n">
        <f aca="false">COUNTIFS('Clean Data'!$M$2:$M$248,A318)</f>
        <v>0</v>
      </c>
    </row>
    <row r="319" customFormat="false" ht="15" hidden="false" customHeight="false" outlineLevel="0" collapsed="false">
      <c r="A319" s="33" t="n">
        <v>45240</v>
      </c>
      <c r="B319" s="2" t="n">
        <f aca="false">COUNTIFS('Clean Data'!$L$2:$L$248,"&lt;="&amp;A319,'Clean Data'!$M$2:$M$248,"&gt;"&amp;A319)</f>
        <v>2</v>
      </c>
      <c r="C319" s="2" t="n">
        <f aca="false">COUNTIFS('Clean Data'!$L$2:$L$248,A319)</f>
        <v>0</v>
      </c>
      <c r="D319" s="2" t="n">
        <f aca="false">COUNTIFS('Clean Data'!$M$2:$M$248,A319)</f>
        <v>1</v>
      </c>
    </row>
    <row r="320" customFormat="false" ht="15" hidden="false" customHeight="false" outlineLevel="0" collapsed="false">
      <c r="A320" s="33" t="n">
        <v>45241</v>
      </c>
      <c r="B320" s="2" t="n">
        <f aca="false">COUNTIFS('Clean Data'!$L$2:$L$248,"&lt;="&amp;A320,'Clean Data'!$M$2:$M$248,"&gt;"&amp;A320)</f>
        <v>3</v>
      </c>
      <c r="C320" s="2" t="n">
        <f aca="false">COUNTIFS('Clean Data'!$L$2:$L$248,A320)</f>
        <v>1</v>
      </c>
      <c r="D320" s="2" t="n">
        <f aca="false">COUNTIFS('Clean Data'!$M$2:$M$248,A320)</f>
        <v>0</v>
      </c>
    </row>
    <row r="321" customFormat="false" ht="15" hidden="false" customHeight="false" outlineLevel="0" collapsed="false">
      <c r="A321" s="33" t="n">
        <v>45242</v>
      </c>
      <c r="B321" s="2" t="n">
        <f aca="false">COUNTIFS('Clean Data'!$L$2:$L$248,"&lt;="&amp;A321,'Clean Data'!$M$2:$M$248,"&gt;"&amp;A321)</f>
        <v>3</v>
      </c>
      <c r="C321" s="2" t="n">
        <f aca="false">COUNTIFS('Clean Data'!$L$2:$L$248,A321)</f>
        <v>0</v>
      </c>
      <c r="D321" s="2" t="n">
        <f aca="false">COUNTIFS('Clean Data'!$M$2:$M$248,A321)</f>
        <v>0</v>
      </c>
    </row>
    <row r="322" customFormat="false" ht="15" hidden="false" customHeight="false" outlineLevel="0" collapsed="false">
      <c r="A322" s="33" t="n">
        <v>45243</v>
      </c>
      <c r="B322" s="2" t="n">
        <f aca="false">COUNTIFS('Clean Data'!$L$2:$L$248,"&lt;="&amp;A322,'Clean Data'!$M$2:$M$248,"&gt;"&amp;A322)</f>
        <v>3</v>
      </c>
      <c r="C322" s="2" t="n">
        <f aca="false">COUNTIFS('Clean Data'!$L$2:$L$248,A322)</f>
        <v>0</v>
      </c>
      <c r="D322" s="2" t="n">
        <f aca="false">COUNTIFS('Clean Data'!$M$2:$M$248,A322)</f>
        <v>0</v>
      </c>
    </row>
    <row r="323" customFormat="false" ht="15" hidden="false" customHeight="false" outlineLevel="0" collapsed="false">
      <c r="A323" s="33" t="n">
        <v>45244</v>
      </c>
      <c r="B323" s="2" t="n">
        <f aca="false">COUNTIFS('Clean Data'!$L$2:$L$248,"&lt;="&amp;A323,'Clean Data'!$M$2:$M$248,"&gt;"&amp;A323)</f>
        <v>6</v>
      </c>
      <c r="C323" s="2" t="n">
        <f aca="false">COUNTIFS('Clean Data'!$L$2:$L$248,A323)</f>
        <v>3</v>
      </c>
      <c r="D323" s="2" t="n">
        <f aca="false">COUNTIFS('Clean Data'!$M$2:$M$248,A323)</f>
        <v>0</v>
      </c>
    </row>
    <row r="324" customFormat="false" ht="15" hidden="false" customHeight="false" outlineLevel="0" collapsed="false">
      <c r="A324" s="33" t="n">
        <v>45245</v>
      </c>
      <c r="B324" s="2" t="n">
        <f aca="false">COUNTIFS('Clean Data'!$L$2:$L$248,"&lt;="&amp;A324,'Clean Data'!$M$2:$M$248,"&gt;"&amp;A324)</f>
        <v>5</v>
      </c>
      <c r="C324" s="2" t="n">
        <f aca="false">COUNTIFS('Clean Data'!$L$2:$L$248,A324)</f>
        <v>1</v>
      </c>
      <c r="D324" s="2" t="n">
        <f aca="false">COUNTIFS('Clean Data'!$M$2:$M$248,A324)</f>
        <v>2</v>
      </c>
    </row>
    <row r="325" customFormat="false" ht="15" hidden="false" customHeight="false" outlineLevel="0" collapsed="false">
      <c r="A325" s="33" t="n">
        <v>45246</v>
      </c>
      <c r="B325" s="2" t="n">
        <f aca="false">COUNTIFS('Clean Data'!$L$2:$L$248,"&lt;="&amp;A325,'Clean Data'!$M$2:$M$248,"&gt;"&amp;A325)</f>
        <v>6</v>
      </c>
      <c r="C325" s="2" t="n">
        <f aca="false">COUNTIFS('Clean Data'!$L$2:$L$248,A325)</f>
        <v>1</v>
      </c>
      <c r="D325" s="2" t="n">
        <f aca="false">COUNTIFS('Clean Data'!$M$2:$M$248,A325)</f>
        <v>0</v>
      </c>
    </row>
    <row r="326" customFormat="false" ht="15" hidden="false" customHeight="false" outlineLevel="0" collapsed="false">
      <c r="A326" s="33" t="n">
        <v>45247</v>
      </c>
      <c r="B326" s="2" t="n">
        <f aca="false">COUNTIFS('Clean Data'!$L$2:$L$248,"&lt;="&amp;A326,'Clean Data'!$M$2:$M$248,"&gt;"&amp;A326)</f>
        <v>6</v>
      </c>
      <c r="C326" s="2" t="n">
        <f aca="false">COUNTIFS('Clean Data'!$L$2:$L$248,A326)</f>
        <v>0</v>
      </c>
      <c r="D326" s="2" t="n">
        <f aca="false">COUNTIFS('Clean Data'!$M$2:$M$248,A326)</f>
        <v>0</v>
      </c>
    </row>
    <row r="327" customFormat="false" ht="15" hidden="false" customHeight="false" outlineLevel="0" collapsed="false">
      <c r="A327" s="33" t="n">
        <v>45248</v>
      </c>
      <c r="B327" s="2" t="n">
        <f aca="false">COUNTIFS('Clean Data'!$L$2:$L$248,"&lt;="&amp;A327,'Clean Data'!$M$2:$M$248,"&gt;"&amp;A327)</f>
        <v>6</v>
      </c>
      <c r="C327" s="2" t="n">
        <f aca="false">COUNTIFS('Clean Data'!$L$2:$L$248,A327)</f>
        <v>1</v>
      </c>
      <c r="D327" s="2" t="n">
        <f aca="false">COUNTIFS('Clean Data'!$M$2:$M$248,A327)</f>
        <v>1</v>
      </c>
    </row>
    <row r="328" customFormat="false" ht="15" hidden="false" customHeight="false" outlineLevel="0" collapsed="false">
      <c r="A328" s="33" t="n">
        <v>45249</v>
      </c>
      <c r="B328" s="2" t="n">
        <f aca="false">COUNTIFS('Clean Data'!$L$2:$L$248,"&lt;="&amp;A328,'Clean Data'!$M$2:$M$248,"&gt;"&amp;A328)</f>
        <v>5</v>
      </c>
      <c r="C328" s="2" t="n">
        <f aca="false">COUNTIFS('Clean Data'!$L$2:$L$248,A328)</f>
        <v>0</v>
      </c>
      <c r="D328" s="2" t="n">
        <f aca="false">COUNTIFS('Clean Data'!$M$2:$M$248,A328)</f>
        <v>1</v>
      </c>
    </row>
    <row r="329" customFormat="false" ht="15" hidden="false" customHeight="false" outlineLevel="0" collapsed="false">
      <c r="A329" s="33" t="n">
        <v>45250</v>
      </c>
      <c r="B329" s="2" t="n">
        <f aca="false">COUNTIFS('Clean Data'!$L$2:$L$248,"&lt;="&amp;A329,'Clean Data'!$M$2:$M$248,"&gt;"&amp;A329)</f>
        <v>4</v>
      </c>
      <c r="C329" s="2" t="n">
        <f aca="false">COUNTIFS('Clean Data'!$L$2:$L$248,A329)</f>
        <v>0</v>
      </c>
      <c r="D329" s="2" t="n">
        <f aca="false">COUNTIFS('Clean Data'!$M$2:$M$248,A329)</f>
        <v>1</v>
      </c>
    </row>
    <row r="330" customFormat="false" ht="15" hidden="false" customHeight="false" outlineLevel="0" collapsed="false">
      <c r="A330" s="33" t="n">
        <v>45251</v>
      </c>
      <c r="B330" s="2" t="n">
        <f aca="false">COUNTIFS('Clean Data'!$L$2:$L$248,"&lt;="&amp;A330,'Clean Data'!$M$2:$M$248,"&gt;"&amp;A330)</f>
        <v>4</v>
      </c>
      <c r="C330" s="2" t="n">
        <f aca="false">COUNTIFS('Clean Data'!$L$2:$L$248,A330)</f>
        <v>0</v>
      </c>
      <c r="D330" s="2" t="n">
        <f aca="false">COUNTIFS('Clean Data'!$M$2:$M$248,A330)</f>
        <v>0</v>
      </c>
    </row>
    <row r="331" customFormat="false" ht="15" hidden="false" customHeight="false" outlineLevel="0" collapsed="false">
      <c r="A331" s="33" t="n">
        <v>45252</v>
      </c>
      <c r="B331" s="2" t="n">
        <f aca="false">COUNTIFS('Clean Data'!$L$2:$L$248,"&lt;="&amp;A331,'Clean Data'!$M$2:$M$248,"&gt;"&amp;A331)</f>
        <v>1</v>
      </c>
      <c r="C331" s="2" t="n">
        <f aca="false">COUNTIFS('Clean Data'!$L$2:$L$248,A331)</f>
        <v>0</v>
      </c>
      <c r="D331" s="2" t="n">
        <f aca="false">COUNTIFS('Clean Data'!$M$2:$M$248,A331)</f>
        <v>3</v>
      </c>
    </row>
    <row r="332" customFormat="false" ht="15" hidden="false" customHeight="false" outlineLevel="0" collapsed="false">
      <c r="A332" s="33" t="n">
        <v>45253</v>
      </c>
      <c r="B332" s="2" t="n">
        <f aca="false">COUNTIFS('Clean Data'!$L$2:$L$248,"&lt;="&amp;A332,'Clean Data'!$M$2:$M$248,"&gt;"&amp;A332)</f>
        <v>3</v>
      </c>
      <c r="C332" s="2" t="n">
        <f aca="false">COUNTIFS('Clean Data'!$L$2:$L$248,A332)</f>
        <v>2</v>
      </c>
      <c r="D332" s="2" t="n">
        <f aca="false">COUNTIFS('Clean Data'!$M$2:$M$248,A332)</f>
        <v>0</v>
      </c>
    </row>
    <row r="333" customFormat="false" ht="15" hidden="false" customHeight="false" outlineLevel="0" collapsed="false">
      <c r="A333" s="33" t="n">
        <v>45254</v>
      </c>
      <c r="B333" s="2" t="n">
        <f aca="false">COUNTIFS('Clean Data'!$L$2:$L$248,"&lt;="&amp;A333,'Clean Data'!$M$2:$M$248,"&gt;"&amp;A333)</f>
        <v>4</v>
      </c>
      <c r="C333" s="2" t="n">
        <f aca="false">COUNTIFS('Clean Data'!$L$2:$L$248,A333)</f>
        <v>1</v>
      </c>
      <c r="D333" s="2" t="n">
        <f aca="false">COUNTIFS('Clean Data'!$M$2:$M$248,A333)</f>
        <v>0</v>
      </c>
    </row>
    <row r="334" customFormat="false" ht="15" hidden="false" customHeight="false" outlineLevel="0" collapsed="false">
      <c r="A334" s="33" t="n">
        <v>45255</v>
      </c>
      <c r="B334" s="2" t="n">
        <f aca="false">COUNTIFS('Clean Data'!$L$2:$L$248,"&lt;="&amp;A334,'Clean Data'!$M$2:$M$248,"&gt;"&amp;A334)</f>
        <v>4</v>
      </c>
      <c r="C334" s="2" t="n">
        <f aca="false">COUNTIFS('Clean Data'!$L$2:$L$248,A334)</f>
        <v>0</v>
      </c>
      <c r="D334" s="2" t="n">
        <f aca="false">COUNTIFS('Clean Data'!$M$2:$M$248,A334)</f>
        <v>0</v>
      </c>
    </row>
    <row r="335" customFormat="false" ht="15" hidden="false" customHeight="false" outlineLevel="0" collapsed="false">
      <c r="A335" s="33" t="n">
        <v>45256</v>
      </c>
      <c r="B335" s="2" t="n">
        <f aca="false">COUNTIFS('Clean Data'!$L$2:$L$248,"&lt;="&amp;A335,'Clean Data'!$M$2:$M$248,"&gt;"&amp;A335)</f>
        <v>3</v>
      </c>
      <c r="C335" s="2" t="n">
        <f aca="false">COUNTIFS('Clean Data'!$L$2:$L$248,A335)</f>
        <v>0</v>
      </c>
      <c r="D335" s="2" t="n">
        <f aca="false">COUNTIFS('Clean Data'!$M$2:$M$248,A335)</f>
        <v>1</v>
      </c>
    </row>
    <row r="336" customFormat="false" ht="15" hidden="false" customHeight="false" outlineLevel="0" collapsed="false">
      <c r="A336" s="33" t="n">
        <v>45257</v>
      </c>
      <c r="B336" s="2" t="n">
        <f aca="false">COUNTIFS('Clean Data'!$L$2:$L$248,"&lt;="&amp;A336,'Clean Data'!$M$2:$M$248,"&gt;"&amp;A336)</f>
        <v>3</v>
      </c>
      <c r="C336" s="2" t="n">
        <f aca="false">COUNTIFS('Clean Data'!$L$2:$L$248,A336)</f>
        <v>2</v>
      </c>
      <c r="D336" s="2" t="n">
        <f aca="false">COUNTIFS('Clean Data'!$M$2:$M$248,A336)</f>
        <v>2</v>
      </c>
    </row>
    <row r="337" customFormat="false" ht="15" hidden="false" customHeight="false" outlineLevel="0" collapsed="false">
      <c r="A337" s="33" t="n">
        <v>45258</v>
      </c>
      <c r="B337" s="2" t="n">
        <f aca="false">COUNTIFS('Clean Data'!$L$2:$L$248,"&lt;="&amp;A337,'Clean Data'!$M$2:$M$248,"&gt;"&amp;A337)</f>
        <v>5</v>
      </c>
      <c r="C337" s="2" t="n">
        <f aca="false">COUNTIFS('Clean Data'!$L$2:$L$248,A337)</f>
        <v>2</v>
      </c>
      <c r="D337" s="2" t="n">
        <f aca="false">COUNTIFS('Clean Data'!$M$2:$M$248,A337)</f>
        <v>0</v>
      </c>
    </row>
    <row r="338" customFormat="false" ht="15" hidden="false" customHeight="false" outlineLevel="0" collapsed="false">
      <c r="A338" s="33" t="n">
        <v>45259</v>
      </c>
      <c r="B338" s="2" t="n">
        <f aca="false">COUNTIFS('Clean Data'!$L$2:$L$248,"&lt;="&amp;A338,'Clean Data'!$M$2:$M$248,"&gt;"&amp;A338)</f>
        <v>5</v>
      </c>
      <c r="C338" s="2" t="n">
        <f aca="false">COUNTIFS('Clean Data'!$L$2:$L$248,A338)</f>
        <v>0</v>
      </c>
      <c r="D338" s="2" t="n">
        <f aca="false">COUNTIFS('Clean Data'!$M$2:$M$248,A338)</f>
        <v>0</v>
      </c>
    </row>
    <row r="339" customFormat="false" ht="15" hidden="false" customHeight="false" outlineLevel="0" collapsed="false">
      <c r="A339" s="33" t="n">
        <v>45260</v>
      </c>
      <c r="B339" s="2" t="n">
        <f aca="false">COUNTIFS('Clean Data'!$L$2:$L$248,"&lt;="&amp;A339,'Clean Data'!$M$2:$M$248,"&gt;"&amp;A339)</f>
        <v>4</v>
      </c>
      <c r="C339" s="2" t="n">
        <f aca="false">COUNTIFS('Clean Data'!$L$2:$L$248,A339)</f>
        <v>0</v>
      </c>
      <c r="D339" s="2" t="n">
        <f aca="false">COUNTIFS('Clean Data'!$M$2:$M$248,A339)</f>
        <v>1</v>
      </c>
    </row>
    <row r="340" customFormat="false" ht="15" hidden="false" customHeight="false" outlineLevel="0" collapsed="false">
      <c r="A340" s="33" t="n">
        <v>45261</v>
      </c>
      <c r="B340" s="2" t="n">
        <f aca="false">COUNTIFS('Clean Data'!$L$2:$L$248,"&lt;="&amp;A340,'Clean Data'!$M$2:$M$248,"&gt;"&amp;A340)</f>
        <v>3</v>
      </c>
      <c r="C340" s="2" t="n">
        <f aca="false">COUNTIFS('Clean Data'!$L$2:$L$248,A340)</f>
        <v>0</v>
      </c>
      <c r="D340" s="2" t="n">
        <f aca="false">COUNTIFS('Clean Data'!$M$2:$M$248,A340)</f>
        <v>1</v>
      </c>
    </row>
    <row r="341" customFormat="false" ht="15" hidden="false" customHeight="false" outlineLevel="0" collapsed="false">
      <c r="A341" s="33" t="n">
        <v>45262</v>
      </c>
      <c r="B341" s="2" t="n">
        <f aca="false">COUNTIFS('Clean Data'!$L$2:$L$248,"&lt;="&amp;A341,'Clean Data'!$M$2:$M$248,"&gt;"&amp;A341)</f>
        <v>2</v>
      </c>
      <c r="C341" s="2" t="n">
        <f aca="false">COUNTIFS('Clean Data'!$L$2:$L$248,A341)</f>
        <v>0</v>
      </c>
      <c r="D341" s="2" t="n">
        <f aca="false">COUNTIFS('Clean Data'!$M$2:$M$248,A341)</f>
        <v>1</v>
      </c>
    </row>
    <row r="342" customFormat="false" ht="15" hidden="false" customHeight="false" outlineLevel="0" collapsed="false">
      <c r="A342" s="33" t="n">
        <v>45263</v>
      </c>
      <c r="B342" s="2" t="n">
        <f aca="false">COUNTIFS('Clean Data'!$L$2:$L$248,"&lt;="&amp;A342,'Clean Data'!$M$2:$M$248,"&gt;"&amp;A342)</f>
        <v>3</v>
      </c>
      <c r="C342" s="2" t="n">
        <f aca="false">COUNTIFS('Clean Data'!$L$2:$L$248,A342)</f>
        <v>1</v>
      </c>
      <c r="D342" s="2" t="n">
        <f aca="false">COUNTIFS('Clean Data'!$M$2:$M$248,A342)</f>
        <v>0</v>
      </c>
    </row>
    <row r="343" customFormat="false" ht="15" hidden="false" customHeight="false" outlineLevel="0" collapsed="false">
      <c r="A343" s="33" t="n">
        <v>45264</v>
      </c>
      <c r="B343" s="2" t="n">
        <f aca="false">COUNTIFS('Clean Data'!$L$2:$L$248,"&lt;="&amp;A343,'Clean Data'!$M$2:$M$248,"&gt;"&amp;A343)</f>
        <v>4</v>
      </c>
      <c r="C343" s="2" t="n">
        <f aca="false">COUNTIFS('Clean Data'!$L$2:$L$248,A343)</f>
        <v>1</v>
      </c>
      <c r="D343" s="2" t="n">
        <f aca="false">COUNTIFS('Clean Data'!$M$2:$M$248,A343)</f>
        <v>0</v>
      </c>
    </row>
    <row r="344" customFormat="false" ht="15" hidden="false" customHeight="false" outlineLevel="0" collapsed="false">
      <c r="A344" s="33" t="n">
        <v>45265</v>
      </c>
      <c r="B344" s="2" t="n">
        <f aca="false">COUNTIFS('Clean Data'!$L$2:$L$248,"&lt;="&amp;A344,'Clean Data'!$M$2:$M$248,"&gt;"&amp;A344)</f>
        <v>6</v>
      </c>
      <c r="C344" s="2" t="n">
        <f aca="false">COUNTIFS('Clean Data'!$L$2:$L$248,A344)</f>
        <v>2</v>
      </c>
      <c r="D344" s="2" t="n">
        <f aca="false">COUNTIFS('Clean Data'!$M$2:$M$248,A344)</f>
        <v>0</v>
      </c>
    </row>
    <row r="345" customFormat="false" ht="15" hidden="false" customHeight="false" outlineLevel="0" collapsed="false">
      <c r="A345" s="33" t="n">
        <v>45266</v>
      </c>
      <c r="B345" s="2" t="n">
        <f aca="false">COUNTIFS('Clean Data'!$L$2:$L$248,"&lt;="&amp;A345,'Clean Data'!$M$2:$M$248,"&gt;"&amp;A345)</f>
        <v>7</v>
      </c>
      <c r="C345" s="2" t="n">
        <f aca="false">COUNTIFS('Clean Data'!$L$2:$L$248,A345)</f>
        <v>2</v>
      </c>
      <c r="D345" s="2" t="n">
        <f aca="false">COUNTIFS('Clean Data'!$M$2:$M$248,A345)</f>
        <v>1</v>
      </c>
    </row>
    <row r="346" customFormat="false" ht="15" hidden="false" customHeight="false" outlineLevel="0" collapsed="false">
      <c r="A346" s="33" t="n">
        <v>45267</v>
      </c>
      <c r="B346" s="2" t="n">
        <f aca="false">COUNTIFS('Clean Data'!$L$2:$L$248,"&lt;="&amp;A346,'Clean Data'!$M$2:$M$248,"&gt;"&amp;A346)</f>
        <v>7</v>
      </c>
      <c r="C346" s="2" t="n">
        <f aca="false">COUNTIFS('Clean Data'!$L$2:$L$248,A346)</f>
        <v>2</v>
      </c>
      <c r="D346" s="2" t="n">
        <f aca="false">COUNTIFS('Clean Data'!$M$2:$M$248,A346)</f>
        <v>2</v>
      </c>
    </row>
    <row r="347" customFormat="false" ht="15" hidden="false" customHeight="false" outlineLevel="0" collapsed="false">
      <c r="A347" s="33" t="n">
        <v>45268</v>
      </c>
      <c r="B347" s="2" t="n">
        <f aca="false">COUNTIFS('Clean Data'!$L$2:$L$248,"&lt;="&amp;A347,'Clean Data'!$M$2:$M$248,"&gt;"&amp;A347)</f>
        <v>6</v>
      </c>
      <c r="C347" s="2" t="n">
        <f aca="false">COUNTIFS('Clean Data'!$L$2:$L$248,A347)</f>
        <v>0</v>
      </c>
      <c r="D347" s="2" t="n">
        <f aca="false">COUNTIFS('Clean Data'!$M$2:$M$248,A347)</f>
        <v>1</v>
      </c>
    </row>
    <row r="348" customFormat="false" ht="15" hidden="false" customHeight="false" outlineLevel="0" collapsed="false">
      <c r="A348" s="33" t="n">
        <v>45269</v>
      </c>
      <c r="B348" s="2" t="n">
        <f aca="false">COUNTIFS('Clean Data'!$L$2:$L$248,"&lt;="&amp;A348,'Clean Data'!$M$2:$M$248,"&gt;"&amp;A348)</f>
        <v>4</v>
      </c>
      <c r="C348" s="2" t="n">
        <f aca="false">COUNTIFS('Clean Data'!$L$2:$L$248,A348)</f>
        <v>0</v>
      </c>
      <c r="D348" s="2" t="n">
        <f aca="false">COUNTIFS('Clean Data'!$M$2:$M$248,A348)</f>
        <v>2</v>
      </c>
    </row>
    <row r="349" customFormat="false" ht="15" hidden="false" customHeight="false" outlineLevel="0" collapsed="false">
      <c r="A349" s="33" t="n">
        <v>45270</v>
      </c>
      <c r="B349" s="2" t="n">
        <f aca="false">COUNTIFS('Clean Data'!$L$2:$L$248,"&lt;="&amp;A349,'Clean Data'!$M$2:$M$248,"&gt;"&amp;A349)</f>
        <v>3</v>
      </c>
      <c r="C349" s="2" t="n">
        <f aca="false">COUNTIFS('Clean Data'!$L$2:$L$248,A349)</f>
        <v>0</v>
      </c>
      <c r="D349" s="2" t="n">
        <f aca="false">COUNTIFS('Clean Data'!$M$2:$M$248,A349)</f>
        <v>1</v>
      </c>
    </row>
    <row r="350" customFormat="false" ht="15" hidden="false" customHeight="false" outlineLevel="0" collapsed="false">
      <c r="A350" s="33" t="n">
        <v>45271</v>
      </c>
      <c r="B350" s="2" t="n">
        <f aca="false">COUNTIFS('Clean Data'!$L$2:$L$248,"&lt;="&amp;A350,'Clean Data'!$M$2:$M$248,"&gt;"&amp;A350)</f>
        <v>2</v>
      </c>
      <c r="C350" s="2" t="n">
        <f aca="false">COUNTIFS('Clean Data'!$L$2:$L$248,A350)</f>
        <v>0</v>
      </c>
      <c r="D350" s="2" t="n">
        <f aca="false">COUNTIFS('Clean Data'!$M$2:$M$248,A350)</f>
        <v>1</v>
      </c>
    </row>
    <row r="351" customFormat="false" ht="15" hidden="false" customHeight="false" outlineLevel="0" collapsed="false">
      <c r="A351" s="33" t="n">
        <v>45272</v>
      </c>
      <c r="B351" s="2" t="n">
        <f aca="false">COUNTIFS('Clean Data'!$L$2:$L$248,"&lt;="&amp;A351,'Clean Data'!$M$2:$M$248,"&gt;"&amp;A351)</f>
        <v>2</v>
      </c>
      <c r="C351" s="2" t="n">
        <f aca="false">COUNTIFS('Clean Data'!$L$2:$L$248,A351)</f>
        <v>2</v>
      </c>
      <c r="D351" s="2" t="n">
        <f aca="false">COUNTIFS('Clean Data'!$M$2:$M$248,A351)</f>
        <v>2</v>
      </c>
    </row>
    <row r="352" customFormat="false" ht="15" hidden="false" customHeight="false" outlineLevel="0" collapsed="false">
      <c r="A352" s="33" t="n">
        <v>45273</v>
      </c>
      <c r="B352" s="2" t="n">
        <f aca="false">COUNTIFS('Clean Data'!$L$2:$L$248,"&lt;="&amp;A352,'Clean Data'!$M$2:$M$248,"&gt;"&amp;A352)</f>
        <v>3</v>
      </c>
      <c r="C352" s="2" t="n">
        <f aca="false">COUNTIFS('Clean Data'!$L$2:$L$248,A352)</f>
        <v>3</v>
      </c>
      <c r="D352" s="2" t="n">
        <f aca="false">COUNTIFS('Clean Data'!$M$2:$M$248,A352)</f>
        <v>2</v>
      </c>
    </row>
    <row r="353" customFormat="false" ht="15" hidden="false" customHeight="false" outlineLevel="0" collapsed="false">
      <c r="A353" s="33" t="n">
        <v>45274</v>
      </c>
      <c r="B353" s="2" t="n">
        <f aca="false">COUNTIFS('Clean Data'!$L$2:$L$248,"&lt;="&amp;A353,'Clean Data'!$M$2:$M$248,"&gt;"&amp;A353)</f>
        <v>3</v>
      </c>
      <c r="C353" s="2" t="n">
        <f aca="false">COUNTIFS('Clean Data'!$L$2:$L$248,A353)</f>
        <v>0</v>
      </c>
      <c r="D353" s="2" t="n">
        <f aca="false">COUNTIFS('Clean Data'!$M$2:$M$248,A353)</f>
        <v>0</v>
      </c>
    </row>
    <row r="354" customFormat="false" ht="15" hidden="false" customHeight="false" outlineLevel="0" collapsed="false">
      <c r="A354" s="33" t="n">
        <v>45275</v>
      </c>
      <c r="B354" s="2" t="n">
        <f aca="false">COUNTIFS('Clean Data'!$L$2:$L$248,"&lt;="&amp;A354,'Clean Data'!$M$2:$M$248,"&gt;"&amp;A354)</f>
        <v>3</v>
      </c>
      <c r="C354" s="2" t="n">
        <f aca="false">COUNTIFS('Clean Data'!$L$2:$L$248,A354)</f>
        <v>1</v>
      </c>
      <c r="D354" s="2" t="n">
        <f aca="false">COUNTIFS('Clean Data'!$M$2:$M$248,A354)</f>
        <v>1</v>
      </c>
    </row>
    <row r="355" customFormat="false" ht="15" hidden="false" customHeight="false" outlineLevel="0" collapsed="false">
      <c r="A355" s="33" t="n">
        <v>45276</v>
      </c>
      <c r="B355" s="2" t="n">
        <f aca="false">COUNTIFS('Clean Data'!$L$2:$L$248,"&lt;="&amp;A355,'Clean Data'!$M$2:$M$248,"&gt;"&amp;A355)</f>
        <v>3</v>
      </c>
      <c r="C355" s="2" t="n">
        <f aca="false">COUNTIFS('Clean Data'!$L$2:$L$248,A355)</f>
        <v>1</v>
      </c>
      <c r="D355" s="2" t="n">
        <f aca="false">COUNTIFS('Clean Data'!$M$2:$M$248,A355)</f>
        <v>1</v>
      </c>
    </row>
    <row r="356" customFormat="false" ht="15" hidden="false" customHeight="false" outlineLevel="0" collapsed="false">
      <c r="A356" s="33" t="n">
        <v>45277</v>
      </c>
      <c r="B356" s="2" t="n">
        <f aca="false">COUNTIFS('Clean Data'!$L$2:$L$248,"&lt;="&amp;A356,'Clean Data'!$M$2:$M$248,"&gt;"&amp;A356)</f>
        <v>3</v>
      </c>
      <c r="C356" s="2" t="n">
        <f aca="false">COUNTIFS('Clean Data'!$L$2:$L$248,A356)</f>
        <v>0</v>
      </c>
      <c r="D356" s="2" t="n">
        <f aca="false">COUNTIFS('Clean Data'!$M$2:$M$248,A356)</f>
        <v>0</v>
      </c>
    </row>
    <row r="357" customFormat="false" ht="15" hidden="false" customHeight="false" outlineLevel="0" collapsed="false">
      <c r="A357" s="33" t="n">
        <v>45278</v>
      </c>
      <c r="B357" s="2" t="n">
        <f aca="false">COUNTIFS('Clean Data'!$L$2:$L$248,"&lt;="&amp;A357,'Clean Data'!$M$2:$M$248,"&gt;"&amp;A357)</f>
        <v>3</v>
      </c>
      <c r="C357" s="2" t="n">
        <f aca="false">COUNTIFS('Clean Data'!$L$2:$L$248,A357)</f>
        <v>0</v>
      </c>
      <c r="D357" s="2" t="n">
        <f aca="false">COUNTIFS('Clean Data'!$M$2:$M$248,A357)</f>
        <v>0</v>
      </c>
    </row>
    <row r="358" customFormat="false" ht="15" hidden="false" customHeight="false" outlineLevel="0" collapsed="false">
      <c r="A358" s="33" t="n">
        <v>45279</v>
      </c>
      <c r="B358" s="2" t="n">
        <f aca="false">COUNTIFS('Clean Data'!$L$2:$L$248,"&lt;="&amp;A358,'Clean Data'!$M$2:$M$248,"&gt;"&amp;A358)</f>
        <v>3</v>
      </c>
      <c r="C358" s="2" t="n">
        <f aca="false">COUNTIFS('Clean Data'!$L$2:$L$248,A358)</f>
        <v>0</v>
      </c>
      <c r="D358" s="2" t="n">
        <f aca="false">COUNTIFS('Clean Data'!$M$2:$M$248,A358)</f>
        <v>0</v>
      </c>
    </row>
    <row r="359" customFormat="false" ht="15" hidden="false" customHeight="false" outlineLevel="0" collapsed="false">
      <c r="A359" s="33" t="n">
        <v>45280</v>
      </c>
      <c r="B359" s="2" t="n">
        <f aca="false">COUNTIFS('Clean Data'!$L$2:$L$248,"&lt;="&amp;A359,'Clean Data'!$M$2:$M$248,"&gt;"&amp;A359)</f>
        <v>1</v>
      </c>
      <c r="C359" s="2" t="n">
        <f aca="false">COUNTIFS('Clean Data'!$L$2:$L$248,A359)</f>
        <v>0</v>
      </c>
      <c r="D359" s="2" t="n">
        <f aca="false">COUNTIFS('Clean Data'!$M$2:$M$248,A359)</f>
        <v>2</v>
      </c>
    </row>
    <row r="360" customFormat="false" ht="15" hidden="false" customHeight="false" outlineLevel="0" collapsed="false">
      <c r="A360" s="33" t="n">
        <v>45281</v>
      </c>
      <c r="B360" s="2" t="n">
        <f aca="false">COUNTIFS('Clean Data'!$L$2:$L$248,"&lt;="&amp;A360,'Clean Data'!$M$2:$M$248,"&gt;"&amp;A360)</f>
        <v>2</v>
      </c>
      <c r="C360" s="2" t="n">
        <f aca="false">COUNTIFS('Clean Data'!$L$2:$L$248,A360)</f>
        <v>1</v>
      </c>
      <c r="D360" s="2" t="n">
        <f aca="false">COUNTIFS('Clean Data'!$M$2:$M$248,A360)</f>
        <v>0</v>
      </c>
    </row>
    <row r="361" customFormat="false" ht="15" hidden="false" customHeight="false" outlineLevel="0" collapsed="false">
      <c r="A361" s="33" t="n">
        <v>45282</v>
      </c>
      <c r="B361" s="2" t="n">
        <f aca="false">COUNTIFS('Clean Data'!$L$2:$L$248,"&lt;="&amp;A361,'Clean Data'!$M$2:$M$248,"&gt;"&amp;A361)</f>
        <v>1</v>
      </c>
      <c r="C361" s="2" t="n">
        <f aca="false">COUNTIFS('Clean Data'!$L$2:$L$248,A361)</f>
        <v>0</v>
      </c>
      <c r="D361" s="2" t="n">
        <f aca="false">COUNTIFS('Clean Data'!$M$2:$M$248,A361)</f>
        <v>1</v>
      </c>
    </row>
    <row r="362" customFormat="false" ht="15" hidden="false" customHeight="false" outlineLevel="0" collapsed="false">
      <c r="A362" s="33" t="n">
        <v>45283</v>
      </c>
      <c r="B362" s="2" t="n">
        <f aca="false">COUNTIFS('Clean Data'!$L$2:$L$248,"&lt;="&amp;A362,'Clean Data'!$M$2:$M$248,"&gt;"&amp;A362)</f>
        <v>1</v>
      </c>
      <c r="C362" s="2" t="n">
        <f aca="false">COUNTIFS('Clean Data'!$L$2:$L$248,A362)</f>
        <v>0</v>
      </c>
      <c r="D362" s="2" t="n">
        <f aca="false">COUNTIFS('Clean Data'!$M$2:$M$248,A362)</f>
        <v>0</v>
      </c>
    </row>
    <row r="363" customFormat="false" ht="15" hidden="false" customHeight="false" outlineLevel="0" collapsed="false">
      <c r="A363" s="33" t="n">
        <v>45284</v>
      </c>
      <c r="B363" s="2" t="n">
        <f aca="false">COUNTIFS('Clean Data'!$L$2:$L$248,"&lt;="&amp;A363,'Clean Data'!$M$2:$M$248,"&gt;"&amp;A363)</f>
        <v>2</v>
      </c>
      <c r="C363" s="2" t="n">
        <f aca="false">COUNTIFS('Clean Data'!$L$2:$L$248,A363)</f>
        <v>1</v>
      </c>
      <c r="D363" s="2" t="n">
        <f aca="false">COUNTIFS('Clean Data'!$M$2:$M$248,A363)</f>
        <v>0</v>
      </c>
    </row>
    <row r="364" customFormat="false" ht="15" hidden="false" customHeight="false" outlineLevel="0" collapsed="false">
      <c r="A364" s="33" t="n">
        <v>45285</v>
      </c>
      <c r="B364" s="2" t="n">
        <f aca="false">COUNTIFS('Clean Data'!$L$2:$L$248,"&lt;="&amp;A364,'Clean Data'!$M$2:$M$248,"&gt;"&amp;A364)</f>
        <v>4</v>
      </c>
      <c r="C364" s="2" t="n">
        <f aca="false">COUNTIFS('Clean Data'!$L$2:$L$248,A364)</f>
        <v>2</v>
      </c>
      <c r="D364" s="2" t="n">
        <f aca="false">COUNTIFS('Clean Data'!$M$2:$M$248,A364)</f>
        <v>0</v>
      </c>
    </row>
    <row r="365" customFormat="false" ht="15" hidden="false" customHeight="false" outlineLevel="0" collapsed="false">
      <c r="A365" s="33" t="n">
        <v>45286</v>
      </c>
      <c r="B365" s="2" t="n">
        <f aca="false">COUNTIFS('Clean Data'!$L$2:$L$248,"&lt;="&amp;A365,'Clean Data'!$M$2:$M$248,"&gt;"&amp;A365)</f>
        <v>7</v>
      </c>
      <c r="C365" s="2" t="n">
        <f aca="false">COUNTIFS('Clean Data'!$L$2:$L$248,A365)</f>
        <v>3</v>
      </c>
      <c r="D365" s="2" t="n">
        <f aca="false">COUNTIFS('Clean Data'!$M$2:$M$248,A365)</f>
        <v>0</v>
      </c>
    </row>
    <row r="366" customFormat="false" ht="15" hidden="false" customHeight="false" outlineLevel="0" collapsed="false">
      <c r="A366" s="33" t="n">
        <v>45287</v>
      </c>
      <c r="B366" s="2" t="n">
        <f aca="false">COUNTIFS('Clean Data'!$L$2:$L$248,"&lt;="&amp;A366,'Clean Data'!$M$2:$M$248,"&gt;"&amp;A366)</f>
        <v>5</v>
      </c>
      <c r="C366" s="2" t="n">
        <f aca="false">COUNTIFS('Clean Data'!$L$2:$L$248,A366)</f>
        <v>0</v>
      </c>
      <c r="D366" s="2" t="n">
        <f aca="false">COUNTIFS('Clean Data'!$M$2:$M$248,A366)</f>
        <v>2</v>
      </c>
    </row>
    <row r="367" customFormat="false" ht="15" hidden="false" customHeight="false" outlineLevel="0" collapsed="false">
      <c r="A367" s="33" t="n">
        <v>45288</v>
      </c>
      <c r="B367" s="2" t="n">
        <f aca="false">COUNTIFS('Clean Data'!$L$2:$L$248,"&lt;="&amp;A367,'Clean Data'!$M$2:$M$248,"&gt;"&amp;A367)</f>
        <v>6</v>
      </c>
      <c r="C367" s="2" t="n">
        <f aca="false">COUNTIFS('Clean Data'!$L$2:$L$248,A367)</f>
        <v>1</v>
      </c>
      <c r="D367" s="2" t="n">
        <f aca="false">COUNTIFS('Clean Data'!$M$2:$M$248,A367)</f>
        <v>0</v>
      </c>
    </row>
    <row r="368" customFormat="false" ht="15" hidden="false" customHeight="false" outlineLevel="0" collapsed="false">
      <c r="A368" s="33" t="n">
        <v>45289</v>
      </c>
      <c r="B368" s="2" t="n">
        <f aca="false">COUNTIFS('Clean Data'!$L$2:$L$248,"&lt;="&amp;A368,'Clean Data'!$M$2:$M$248,"&gt;"&amp;A368)</f>
        <v>4</v>
      </c>
      <c r="C368" s="2" t="n">
        <f aca="false">COUNTIFS('Clean Data'!$L$2:$L$248,A368)</f>
        <v>0</v>
      </c>
      <c r="D368" s="2" t="n">
        <f aca="false">COUNTIFS('Clean Data'!$M$2:$M$248,A368)</f>
        <v>2</v>
      </c>
    </row>
    <row r="369" customFormat="false" ht="15" hidden="false" customHeight="false" outlineLevel="0" collapsed="false">
      <c r="A369" s="33" t="n">
        <v>45290</v>
      </c>
      <c r="B369" s="2" t="n">
        <f aca="false">COUNTIFS('Clean Data'!$L$2:$L$248,"&lt;="&amp;A369,'Clean Data'!$M$2:$M$248,"&gt;"&amp;A369)</f>
        <v>4</v>
      </c>
      <c r="C369" s="2" t="n">
        <f aca="false">COUNTIFS('Clean Data'!$L$2:$L$248,A369)</f>
        <v>0</v>
      </c>
      <c r="D369" s="2" t="n">
        <f aca="false">COUNTIFS('Clean Data'!$M$2:$M$248,A369)</f>
        <v>0</v>
      </c>
    </row>
    <row r="370" customFormat="false" ht="15" hidden="false" customHeight="false" outlineLevel="0" collapsed="false">
      <c r="A370" s="33" t="n">
        <v>45291</v>
      </c>
      <c r="B370" s="2" t="n">
        <f aca="false">COUNTIFS('Clean Data'!$L$2:$L$248,"&lt;="&amp;A370,'Clean Data'!$M$2:$M$248,"&gt;"&amp;A370)</f>
        <v>3</v>
      </c>
      <c r="C370" s="2" t="n">
        <f aca="false">COUNTIFS('Clean Data'!$L$2:$L$248,A370)</f>
        <v>0</v>
      </c>
      <c r="D370" s="2" t="n">
        <f aca="false">COUNTIFS('Clean Data'!$M$2:$M$248,A370)</f>
        <v>1</v>
      </c>
    </row>
    <row r="371" customFormat="false" ht="15" hidden="false" customHeight="false" outlineLevel="0" collapsed="false">
      <c r="A371" s="33" t="n">
        <v>45292</v>
      </c>
      <c r="B371" s="2" t="n">
        <f aca="false">COUNTIFS('Clean Data'!$L$2:$L$248,"&lt;="&amp;A371,'Clean Data'!$M$2:$M$248,"&gt;"&amp;A371)</f>
        <v>3</v>
      </c>
      <c r="C371" s="2" t="n">
        <f aca="false">COUNTIFS('Clean Data'!$L$2:$L$248,A371)</f>
        <v>0</v>
      </c>
      <c r="D371" s="2" t="n">
        <f aca="false">COUNTIFS('Clean Data'!$M$2:$M$248,A371)</f>
        <v>0</v>
      </c>
    </row>
    <row r="372" customFormat="false" ht="15" hidden="false" customHeight="false" outlineLevel="0" collapsed="false">
      <c r="A372" s="33" t="n">
        <v>45293</v>
      </c>
      <c r="B372" s="2" t="n">
        <f aca="false">COUNTIFS('Clean Data'!$L$2:$L$248,"&lt;="&amp;A372,'Clean Data'!$M$2:$M$248,"&gt;"&amp;A372)</f>
        <v>3</v>
      </c>
      <c r="C372" s="2" t="n">
        <f aca="false">COUNTIFS('Clean Data'!$L$2:$L$248,A372)</f>
        <v>0</v>
      </c>
      <c r="D372" s="2" t="n">
        <f aca="false">COUNTIFS('Clean Data'!$M$2:$M$248,A372)</f>
        <v>0</v>
      </c>
    </row>
    <row r="373" customFormat="false" ht="15" hidden="false" customHeight="false" outlineLevel="0" collapsed="false">
      <c r="A373" s="33" t="n">
        <v>45294</v>
      </c>
      <c r="B373" s="2" t="n">
        <f aca="false">COUNTIFS('Clean Data'!$L$2:$L$248,"&lt;="&amp;A373,'Clean Data'!$M$2:$M$248,"&gt;"&amp;A373)</f>
        <v>3</v>
      </c>
      <c r="C373" s="2" t="n">
        <f aca="false">COUNTIFS('Clean Data'!$L$2:$L$248,A373)</f>
        <v>0</v>
      </c>
      <c r="D373" s="2" t="n">
        <f aca="false">COUNTIFS('Clean Data'!$M$2:$M$248,A373)</f>
        <v>0</v>
      </c>
    </row>
    <row r="374" customFormat="false" ht="15" hidden="false" customHeight="false" outlineLevel="0" collapsed="false">
      <c r="A374" s="33" t="n">
        <v>45295</v>
      </c>
      <c r="B374" s="2" t="n">
        <f aca="false">COUNTIFS('Clean Data'!$L$2:$L$248,"&lt;="&amp;A374,'Clean Data'!$M$2:$M$248,"&gt;"&amp;A374)</f>
        <v>3</v>
      </c>
      <c r="C374" s="2" t="n">
        <f aca="false">COUNTIFS('Clean Data'!$L$2:$L$248,A374)</f>
        <v>0</v>
      </c>
      <c r="D374" s="2" t="n">
        <f aca="false">COUNTIFS('Clean Data'!$M$2:$M$248,A374)</f>
        <v>0</v>
      </c>
    </row>
    <row r="375" customFormat="false" ht="15" hidden="false" customHeight="false" outlineLevel="0" collapsed="false">
      <c r="A375" s="33" t="n">
        <v>45296</v>
      </c>
      <c r="B375" s="2" t="n">
        <f aca="false">COUNTIFS('Clean Data'!$L$2:$L$248,"&lt;="&amp;A375,'Clean Data'!$M$2:$M$248,"&gt;"&amp;A375)</f>
        <v>2</v>
      </c>
      <c r="C375" s="2" t="n">
        <f aca="false">COUNTIFS('Clean Data'!$L$2:$L$248,A375)</f>
        <v>0</v>
      </c>
      <c r="D375" s="2" t="n">
        <f aca="false">COUNTIFS('Clean Data'!$M$2:$M$248,A375)</f>
        <v>1</v>
      </c>
    </row>
    <row r="376" customFormat="false" ht="15" hidden="false" customHeight="false" outlineLevel="0" collapsed="false">
      <c r="A376" s="33" t="n">
        <v>45297</v>
      </c>
      <c r="B376" s="2" t="n">
        <f aca="false">COUNTIFS('Clean Data'!$L$2:$L$248,"&lt;="&amp;A376,'Clean Data'!$M$2:$M$248,"&gt;"&amp;A376)</f>
        <v>2</v>
      </c>
      <c r="C376" s="2" t="n">
        <f aca="false">COUNTIFS('Clean Data'!$L$2:$L$248,A376)</f>
        <v>0</v>
      </c>
      <c r="D376" s="2" t="n">
        <f aca="false">COUNTIFS('Clean Data'!$M$2:$M$248,A376)</f>
        <v>0</v>
      </c>
    </row>
    <row r="377" customFormat="false" ht="15" hidden="false" customHeight="false" outlineLevel="0" collapsed="false">
      <c r="A377" s="33" t="n">
        <v>45298</v>
      </c>
      <c r="B377" s="2" t="n">
        <f aca="false">COUNTIFS('Clean Data'!$L$2:$L$248,"&lt;="&amp;A377,'Clean Data'!$M$2:$M$248,"&gt;"&amp;A377)</f>
        <v>2</v>
      </c>
      <c r="C377" s="2" t="n">
        <f aca="false">COUNTIFS('Clean Data'!$L$2:$L$248,A377)</f>
        <v>0</v>
      </c>
      <c r="D377" s="2" t="n">
        <f aca="false">COUNTIFS('Clean Data'!$M$2:$M$248,A377)</f>
        <v>0</v>
      </c>
    </row>
    <row r="378" customFormat="false" ht="15" hidden="false" customHeight="false" outlineLevel="0" collapsed="false">
      <c r="A378" s="33" t="n">
        <v>45299</v>
      </c>
      <c r="B378" s="2" t="n">
        <f aca="false">COUNTIFS('Clean Data'!$L$2:$L$248,"&lt;="&amp;A378,'Clean Data'!$M$2:$M$248,"&gt;"&amp;A378)</f>
        <v>2</v>
      </c>
      <c r="C378" s="2" t="n">
        <f aca="false">COUNTIFS('Clean Data'!$L$2:$L$248,A378)</f>
        <v>0</v>
      </c>
      <c r="D378" s="2" t="n">
        <f aca="false">COUNTIFS('Clean Data'!$M$2:$M$248,A378)</f>
        <v>0</v>
      </c>
    </row>
    <row r="379" customFormat="false" ht="15" hidden="false" customHeight="false" outlineLevel="0" collapsed="false">
      <c r="A379" s="33" t="n">
        <v>45300</v>
      </c>
      <c r="B379" s="2" t="n">
        <f aca="false">COUNTIFS('Clean Data'!$L$2:$L$248,"&lt;="&amp;A379,'Clean Data'!$M$2:$M$248,"&gt;"&amp;A379)</f>
        <v>2</v>
      </c>
      <c r="C379" s="2" t="n">
        <f aca="false">COUNTIFS('Clean Data'!$L$2:$L$248,A379)</f>
        <v>0</v>
      </c>
      <c r="D379" s="2" t="n">
        <f aca="false">COUNTIFS('Clean Data'!$M$2:$M$248,A379)</f>
        <v>0</v>
      </c>
    </row>
    <row r="380" customFormat="false" ht="15" hidden="false" customHeight="false" outlineLevel="0" collapsed="false">
      <c r="A380" s="33" t="n">
        <v>45301</v>
      </c>
      <c r="B380" s="2" t="n">
        <f aca="false">COUNTIFS('Clean Data'!$L$2:$L$248,"&lt;="&amp;A380,'Clean Data'!$M$2:$M$248,"&gt;"&amp;A380)</f>
        <v>2</v>
      </c>
      <c r="C380" s="2" t="n">
        <f aca="false">COUNTIFS('Clean Data'!$L$2:$L$248,A380)</f>
        <v>0</v>
      </c>
      <c r="D380" s="2" t="n">
        <f aca="false">COUNTIFS('Clean Data'!$M$2:$M$248,A380)</f>
        <v>0</v>
      </c>
    </row>
    <row r="381" customFormat="false" ht="15" hidden="false" customHeight="false" outlineLevel="0" collapsed="false">
      <c r="A381" s="33" t="n">
        <v>45302</v>
      </c>
      <c r="B381" s="2" t="n">
        <f aca="false">COUNTIFS('Clean Data'!$L$2:$L$248,"&lt;="&amp;A381,'Clean Data'!$M$2:$M$248,"&gt;"&amp;A381)</f>
        <v>2</v>
      </c>
      <c r="C381" s="2" t="n">
        <f aca="false">COUNTIFS('Clean Data'!$L$2:$L$248,A381)</f>
        <v>0</v>
      </c>
      <c r="D381" s="2" t="n">
        <f aca="false">COUNTIFS('Clean Data'!$M$2:$M$248,A381)</f>
        <v>0</v>
      </c>
    </row>
    <row r="382" customFormat="false" ht="15" hidden="false" customHeight="false" outlineLevel="0" collapsed="false">
      <c r="A382" s="33" t="n">
        <v>45303</v>
      </c>
      <c r="B382" s="2" t="n">
        <f aca="false">COUNTIFS('Clean Data'!$L$2:$L$248,"&lt;="&amp;A382,'Clean Data'!$M$2:$M$248,"&gt;"&amp;A382)</f>
        <v>1</v>
      </c>
      <c r="C382" s="2" t="n">
        <f aca="false">COUNTIFS('Clean Data'!$L$2:$L$248,A382)</f>
        <v>0</v>
      </c>
      <c r="D382" s="2" t="n">
        <f aca="false">COUNTIFS('Clean Data'!$M$2:$M$248,A382)</f>
        <v>1</v>
      </c>
    </row>
    <row r="383" customFormat="false" ht="15" hidden="false" customHeight="false" outlineLevel="0" collapsed="false">
      <c r="A383" s="33" t="n">
        <v>45304</v>
      </c>
      <c r="B383" s="2" t="n">
        <f aca="false">COUNTIFS('Clean Data'!$L$2:$L$248,"&lt;="&amp;A383,'Clean Data'!$M$2:$M$248,"&gt;"&amp;A383)</f>
        <v>1</v>
      </c>
      <c r="C383" s="2" t="n">
        <f aca="false">COUNTIFS('Clean Data'!$L$2:$L$248,A383)</f>
        <v>0</v>
      </c>
      <c r="D383" s="2" t="n">
        <f aca="false">COUNTIFS('Clean Data'!$M$2:$M$248,A383)</f>
        <v>0</v>
      </c>
    </row>
  </sheetData>
  <conditionalFormatting sqref="B5:B383">
    <cfRule type="dataBar" priority="2">
      <dataBar showValue="1" minLength="10" maxLength="90">
        <cfvo type="num" val="0"/>
        <cfvo type="max" val="0"/>
        <color rgb="FF2A78D6"/>
      </dataBar>
      <extLst>
        <ext xmlns:x14="http://schemas.microsoft.com/office/spreadsheetml/2009/9/main" uri="{B025F937-C7B1-47D3-B67F-A62EFF666E3E}">
          <x14:id>{AEFECC5D-11A0-497C-AE8F-F530EBA87D4D}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FECC5D-11A0-497C-AE8F-F530EBA87D4D}">
            <x14:dataBar minLength="10" maxLength="90" axisPosition="none" gradient="true">
              <x14:cfvo type="num">
                <xm:f>0</xm:f>
              </x14:cfvo>
              <x14:cfvo type="max"/>
              <x14:negativeFillColor rgb="FF2A78D6"/>
              <x14:axisColor rgb="FF000000"/>
            </x14:dataBar>
          </x14:cfRule>
          <xm:sqref>B5:B383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" t="s">
        <v>584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585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4" t="s">
        <v>586</v>
      </c>
      <c r="B4" s="4" t="s">
        <v>587</v>
      </c>
      <c r="C4" s="4" t="s">
        <v>588</v>
      </c>
      <c r="D4" s="4" t="s">
        <v>589</v>
      </c>
      <c r="E4" s="4" t="s">
        <v>590</v>
      </c>
    </row>
    <row r="5" customFormat="false" ht="25.3" hidden="false" customHeight="false" outlineLevel="0" collapsed="false">
      <c r="A5" s="36" t="n">
        <v>1</v>
      </c>
      <c r="B5" s="36" t="s">
        <v>591</v>
      </c>
      <c r="C5" s="36" t="n">
        <v>0</v>
      </c>
      <c r="D5" s="36" t="s">
        <v>592</v>
      </c>
      <c r="E5" s="36" t="s">
        <v>593</v>
      </c>
    </row>
    <row r="6" customFormat="false" ht="15" hidden="false" customHeight="false" outlineLevel="0" collapsed="false">
      <c r="A6" s="36" t="n">
        <v>2</v>
      </c>
      <c r="B6" s="36" t="s">
        <v>594</v>
      </c>
      <c r="C6" s="36" t="n">
        <v>1</v>
      </c>
      <c r="D6" s="36" t="s">
        <v>595</v>
      </c>
      <c r="E6" s="36" t="s">
        <v>596</v>
      </c>
    </row>
    <row r="7" customFormat="false" ht="15" hidden="false" customHeight="false" outlineLevel="0" collapsed="false">
      <c r="A7" s="36" t="n">
        <v>3</v>
      </c>
      <c r="B7" s="36" t="s">
        <v>597</v>
      </c>
      <c r="C7" s="36" t="n">
        <v>29</v>
      </c>
      <c r="D7" s="36" t="s">
        <v>598</v>
      </c>
      <c r="E7" s="36" t="s">
        <v>599</v>
      </c>
    </row>
    <row r="8" customFormat="false" ht="15" hidden="false" customHeight="false" outlineLevel="0" collapsed="false">
      <c r="A8" s="36" t="n">
        <v>4</v>
      </c>
      <c r="B8" s="36" t="s">
        <v>600</v>
      </c>
      <c r="C8" s="36" t="n">
        <v>0</v>
      </c>
      <c r="D8" s="36" t="s">
        <v>601</v>
      </c>
      <c r="E8" s="36"/>
    </row>
    <row r="9" customFormat="false" ht="37.3" hidden="false" customHeight="false" outlineLevel="0" collapsed="false">
      <c r="A9" s="36" t="n">
        <v>5</v>
      </c>
      <c r="B9" s="36" t="s">
        <v>602</v>
      </c>
      <c r="C9" s="36" t="n">
        <v>195</v>
      </c>
      <c r="D9" s="36" t="s">
        <v>603</v>
      </c>
      <c r="E9" s="36" t="s">
        <v>604</v>
      </c>
    </row>
    <row r="10" customFormat="false" ht="25.3" hidden="false" customHeight="false" outlineLevel="0" collapsed="false">
      <c r="A10" s="36" t="n">
        <v>6</v>
      </c>
      <c r="B10" s="36" t="s">
        <v>605</v>
      </c>
      <c r="C10" s="36" t="n">
        <v>0</v>
      </c>
      <c r="D10" s="36" t="s">
        <v>606</v>
      </c>
      <c r="E10" s="36" t="s">
        <v>607</v>
      </c>
    </row>
    <row r="11" customFormat="false" ht="15" hidden="false" customHeight="false" outlineLevel="0" collapsed="false">
      <c r="A11" s="36" t="n">
        <v>7</v>
      </c>
      <c r="B11" s="36" t="s">
        <v>608</v>
      </c>
      <c r="C11" s="36" t="n">
        <v>0</v>
      </c>
      <c r="D11" s="36" t="s">
        <v>601</v>
      </c>
      <c r="E11" s="36" t="s">
        <v>609</v>
      </c>
    </row>
    <row r="12" customFormat="false" ht="15" hidden="false" customHeight="false" outlineLevel="0" collapsed="false">
      <c r="A12" s="36" t="n">
        <v>8</v>
      </c>
      <c r="B12" s="36" t="s">
        <v>610</v>
      </c>
      <c r="C12" s="36" t="n">
        <v>0</v>
      </c>
      <c r="D12" s="36" t="s">
        <v>601</v>
      </c>
      <c r="E12" s="36"/>
    </row>
    <row r="13" customFormat="false" ht="25.3" hidden="false" customHeight="false" outlineLevel="0" collapsed="false">
      <c r="A13" s="36" t="n">
        <v>9</v>
      </c>
      <c r="B13" s="36" t="s">
        <v>611</v>
      </c>
      <c r="C13" s="36" t="n">
        <v>1</v>
      </c>
      <c r="D13" s="36" t="s">
        <v>612</v>
      </c>
      <c r="E13" s="36" t="s">
        <v>613</v>
      </c>
    </row>
    <row r="14" customFormat="false" ht="15" hidden="false" customHeight="false" outlineLevel="0" collapsed="false">
      <c r="A14" s="36" t="n">
        <v>10</v>
      </c>
      <c r="B14" s="36" t="s">
        <v>614</v>
      </c>
      <c r="C14" s="36" t="n">
        <v>18</v>
      </c>
      <c r="D14" s="36" t="s">
        <v>615</v>
      </c>
      <c r="E14" s="36" t="s">
        <v>616</v>
      </c>
    </row>
    <row r="15" customFormat="false" ht="25.3" hidden="false" customHeight="false" outlineLevel="0" collapsed="false">
      <c r="A15" s="36" t="n">
        <v>11</v>
      </c>
      <c r="B15" s="36" t="s">
        <v>617</v>
      </c>
      <c r="C15" s="36" t="n">
        <v>17</v>
      </c>
      <c r="D15" s="36" t="s">
        <v>618</v>
      </c>
      <c r="E15" s="36" t="s">
        <v>619</v>
      </c>
    </row>
    <row r="16" customFormat="false" ht="25.3" hidden="false" customHeight="false" outlineLevel="0" collapsed="false">
      <c r="A16" s="36" t="n">
        <v>12</v>
      </c>
      <c r="B16" s="36" t="s">
        <v>620</v>
      </c>
      <c r="C16" s="36" t="n">
        <v>7</v>
      </c>
      <c r="D16" s="36" t="s">
        <v>618</v>
      </c>
      <c r="E16" s="36" t="s">
        <v>621</v>
      </c>
    </row>
    <row r="17" customFormat="false" ht="37.3" hidden="false" customHeight="false" outlineLevel="0" collapsed="false">
      <c r="A17" s="36" t="n">
        <v>13</v>
      </c>
      <c r="B17" s="36" t="s">
        <v>622</v>
      </c>
      <c r="C17" s="36" t="n">
        <v>131</v>
      </c>
      <c r="D17" s="36" t="s">
        <v>623</v>
      </c>
      <c r="E17" s="36" t="s">
        <v>624</v>
      </c>
    </row>
    <row r="18" customFormat="false" ht="25.3" hidden="false" customHeight="false" outlineLevel="0" collapsed="false">
      <c r="A18" s="36" t="n">
        <v>14</v>
      </c>
      <c r="B18" s="36" t="s">
        <v>625</v>
      </c>
      <c r="C18" s="36" t="n">
        <v>64</v>
      </c>
      <c r="D18" s="36" t="s">
        <v>626</v>
      </c>
      <c r="E18" s="36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628</v>
      </c>
      <c r="B1" s="2"/>
      <c r="C1" s="2"/>
      <c r="D1" s="2"/>
    </row>
    <row r="2" customFormat="false" ht="15" hidden="false" customHeight="false" outlineLevel="0" collapsed="false">
      <c r="A2" s="3" t="s">
        <v>629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4" t="s">
        <v>630</v>
      </c>
      <c r="B4" s="4" t="s">
        <v>631</v>
      </c>
      <c r="C4" s="4" t="s">
        <v>632</v>
      </c>
      <c r="D4" s="4" t="s">
        <v>633</v>
      </c>
    </row>
    <row r="5" customFormat="false" ht="15" hidden="false" customHeight="false" outlineLevel="0" collapsed="false">
      <c r="A5" s="15" t="s">
        <v>192</v>
      </c>
      <c r="B5" s="36" t="s">
        <v>634</v>
      </c>
      <c r="C5" s="36" t="s">
        <v>635</v>
      </c>
      <c r="D5" s="36" t="s">
        <v>636</v>
      </c>
    </row>
    <row r="6" customFormat="false" ht="15" hidden="false" customHeight="false" outlineLevel="0" collapsed="false">
      <c r="A6" s="15" t="s">
        <v>193</v>
      </c>
      <c r="B6" s="36" t="s">
        <v>637</v>
      </c>
      <c r="C6" s="36" t="s">
        <v>635</v>
      </c>
      <c r="D6" s="36" t="s">
        <v>638</v>
      </c>
    </row>
    <row r="7" customFormat="false" ht="15" hidden="false" customHeight="false" outlineLevel="0" collapsed="false">
      <c r="A7" s="15" t="s">
        <v>194</v>
      </c>
      <c r="B7" s="36" t="s">
        <v>639</v>
      </c>
      <c r="C7" s="36" t="s">
        <v>640</v>
      </c>
      <c r="D7" s="36" t="s">
        <v>638</v>
      </c>
    </row>
    <row r="8" customFormat="false" ht="15" hidden="false" customHeight="false" outlineLevel="0" collapsed="false">
      <c r="A8" s="15" t="s">
        <v>195</v>
      </c>
      <c r="B8" s="36" t="s">
        <v>641</v>
      </c>
      <c r="C8" s="36" t="s">
        <v>635</v>
      </c>
      <c r="D8" s="36" t="s">
        <v>636</v>
      </c>
    </row>
    <row r="9" customFormat="false" ht="15" hidden="false" customHeight="false" outlineLevel="0" collapsed="false">
      <c r="A9" s="15" t="s">
        <v>196</v>
      </c>
      <c r="B9" s="36" t="s">
        <v>642</v>
      </c>
      <c r="C9" s="36" t="s">
        <v>635</v>
      </c>
      <c r="D9" s="36" t="s">
        <v>643</v>
      </c>
    </row>
    <row r="10" customFormat="false" ht="15" hidden="false" customHeight="false" outlineLevel="0" collapsed="false">
      <c r="A10" s="15" t="s">
        <v>197</v>
      </c>
      <c r="B10" s="36" t="s">
        <v>644</v>
      </c>
      <c r="C10" s="36" t="s">
        <v>635</v>
      </c>
      <c r="D10" s="36" t="s">
        <v>638</v>
      </c>
    </row>
    <row r="11" customFormat="false" ht="15" hidden="false" customHeight="false" outlineLevel="0" collapsed="false">
      <c r="A11" s="15" t="s">
        <v>99</v>
      </c>
      <c r="B11" s="36" t="s">
        <v>645</v>
      </c>
      <c r="C11" s="36" t="s">
        <v>635</v>
      </c>
      <c r="D11" s="36" t="s">
        <v>643</v>
      </c>
    </row>
    <row r="12" customFormat="false" ht="15" hidden="false" customHeight="false" outlineLevel="0" collapsed="false">
      <c r="A12" s="15" t="s">
        <v>198</v>
      </c>
      <c r="B12" s="36" t="s">
        <v>646</v>
      </c>
      <c r="C12" s="36" t="s">
        <v>635</v>
      </c>
      <c r="D12" s="36" t="s">
        <v>638</v>
      </c>
    </row>
    <row r="13" customFormat="false" ht="15" hidden="false" customHeight="false" outlineLevel="0" collapsed="false">
      <c r="A13" s="15" t="s">
        <v>199</v>
      </c>
      <c r="B13" s="36" t="s">
        <v>647</v>
      </c>
      <c r="C13" s="36" t="s">
        <v>635</v>
      </c>
      <c r="D13" s="36" t="s">
        <v>636</v>
      </c>
    </row>
    <row r="14" customFormat="false" ht="15" hidden="false" customHeight="false" outlineLevel="0" collapsed="false">
      <c r="A14" s="15" t="s">
        <v>127</v>
      </c>
      <c r="B14" s="36" t="s">
        <v>648</v>
      </c>
      <c r="C14" s="36" t="s">
        <v>635</v>
      </c>
      <c r="D14" s="36" t="s">
        <v>643</v>
      </c>
    </row>
    <row r="15" customFormat="false" ht="15" hidden="false" customHeight="false" outlineLevel="0" collapsed="false">
      <c r="A15" s="15" t="s">
        <v>200</v>
      </c>
      <c r="B15" s="36" t="s">
        <v>649</v>
      </c>
      <c r="C15" s="36" t="s">
        <v>635</v>
      </c>
      <c r="D15" s="36" t="s">
        <v>638</v>
      </c>
    </row>
    <row r="16" customFormat="false" ht="15" hidden="false" customHeight="false" outlineLevel="0" collapsed="false">
      <c r="A16" s="15" t="s">
        <v>201</v>
      </c>
      <c r="B16" s="36" t="s">
        <v>650</v>
      </c>
      <c r="C16" s="36" t="s">
        <v>580</v>
      </c>
      <c r="D16" s="36" t="s">
        <v>651</v>
      </c>
    </row>
    <row r="17" customFormat="false" ht="15" hidden="false" customHeight="false" outlineLevel="0" collapsed="false">
      <c r="A17" s="15" t="s">
        <v>202</v>
      </c>
      <c r="B17" s="36" t="s">
        <v>652</v>
      </c>
      <c r="C17" s="36" t="s">
        <v>580</v>
      </c>
      <c r="D17" s="36" t="s">
        <v>651</v>
      </c>
    </row>
    <row r="18" customFormat="false" ht="15" hidden="false" customHeight="false" outlineLevel="0" collapsed="false">
      <c r="A18" s="15" t="s">
        <v>203</v>
      </c>
      <c r="B18" s="36" t="s">
        <v>653</v>
      </c>
      <c r="C18" s="36" t="s">
        <v>640</v>
      </c>
      <c r="D18" s="36" t="s">
        <v>636</v>
      </c>
    </row>
    <row r="19" customFormat="false" ht="15" hidden="false" customHeight="false" outlineLevel="0" collapsed="false">
      <c r="A19" s="15" t="s">
        <v>204</v>
      </c>
      <c r="B19" s="36" t="s">
        <v>654</v>
      </c>
      <c r="C19" s="36" t="s">
        <v>635</v>
      </c>
      <c r="D19" s="36" t="s">
        <v>636</v>
      </c>
    </row>
    <row r="20" customFormat="false" ht="15" hidden="false" customHeight="false" outlineLevel="0" collapsed="false">
      <c r="A20" s="15" t="s">
        <v>205</v>
      </c>
      <c r="B20" s="36" t="s">
        <v>655</v>
      </c>
      <c r="C20" s="36" t="s">
        <v>656</v>
      </c>
      <c r="D20" s="36" t="s">
        <v>636</v>
      </c>
    </row>
    <row r="21" customFormat="false" ht="15" hidden="false" customHeight="false" outlineLevel="0" collapsed="false">
      <c r="A21" s="15" t="s">
        <v>206</v>
      </c>
      <c r="B21" s="36" t="s">
        <v>657</v>
      </c>
      <c r="C21" s="36" t="s">
        <v>656</v>
      </c>
      <c r="D21" s="36" t="s">
        <v>636</v>
      </c>
    </row>
    <row r="22" customFormat="false" ht="15" hidden="false" customHeight="false" outlineLevel="0" collapsed="false">
      <c r="A22" s="15" t="s">
        <v>207</v>
      </c>
      <c r="B22" s="36" t="s">
        <v>658</v>
      </c>
      <c r="C22" s="36" t="s">
        <v>640</v>
      </c>
      <c r="D22" s="36" t="s">
        <v>636</v>
      </c>
    </row>
    <row r="23" customFormat="false" ht="24.05" hidden="false" customHeight="false" outlineLevel="0" collapsed="false">
      <c r="A23" s="15" t="s">
        <v>208</v>
      </c>
      <c r="B23" s="36" t="s">
        <v>659</v>
      </c>
      <c r="C23" s="36" t="s">
        <v>635</v>
      </c>
      <c r="D23" s="36" t="s">
        <v>636</v>
      </c>
    </row>
    <row r="24" customFormat="false" ht="15" hidden="false" customHeight="false" outlineLevel="0" collapsed="false">
      <c r="A24" s="15" t="s">
        <v>209</v>
      </c>
      <c r="B24" s="36" t="s">
        <v>660</v>
      </c>
      <c r="C24" s="36" t="s">
        <v>635</v>
      </c>
      <c r="D24" s="36" t="s">
        <v>636</v>
      </c>
    </row>
    <row r="25" customFormat="false" ht="15" hidden="false" customHeight="false" outlineLevel="0" collapsed="false">
      <c r="A25" s="15" t="s">
        <v>210</v>
      </c>
      <c r="B25" s="36" t="s">
        <v>661</v>
      </c>
      <c r="C25" s="36" t="s">
        <v>635</v>
      </c>
      <c r="D25" s="36" t="s">
        <v>636</v>
      </c>
    </row>
    <row r="26" customFormat="false" ht="15" hidden="false" customHeight="false" outlineLevel="0" collapsed="false">
      <c r="A26" s="15" t="s">
        <v>211</v>
      </c>
      <c r="B26" s="36" t="s">
        <v>662</v>
      </c>
      <c r="C26" s="36" t="s">
        <v>656</v>
      </c>
      <c r="D26" s="36" t="s">
        <v>636</v>
      </c>
    </row>
    <row r="27" customFormat="false" ht="15" hidden="false" customHeight="false" outlineLevel="0" collapsed="false">
      <c r="A27" s="15" t="s">
        <v>136</v>
      </c>
      <c r="B27" s="36" t="s">
        <v>663</v>
      </c>
      <c r="C27" s="36" t="s">
        <v>635</v>
      </c>
      <c r="D27" s="36" t="s">
        <v>643</v>
      </c>
    </row>
    <row r="28" customFormat="false" ht="15" hidden="false" customHeight="false" outlineLevel="0" collapsed="false">
      <c r="A28" s="15" t="s">
        <v>212</v>
      </c>
      <c r="B28" s="36" t="s">
        <v>664</v>
      </c>
      <c r="C28" s="36" t="s">
        <v>635</v>
      </c>
      <c r="D28" s="36" t="s">
        <v>638</v>
      </c>
    </row>
    <row r="29" customFormat="false" ht="15" hidden="false" customHeight="false" outlineLevel="0" collapsed="false">
      <c r="A29" s="15" t="s">
        <v>213</v>
      </c>
      <c r="B29" s="36" t="s">
        <v>665</v>
      </c>
      <c r="C29" s="36" t="s">
        <v>656</v>
      </c>
      <c r="D29" s="36" t="s">
        <v>636</v>
      </c>
    </row>
    <row r="30" customFormat="false" ht="15" hidden="false" customHeight="false" outlineLevel="0" collapsed="false">
      <c r="A30" s="15" t="s">
        <v>141</v>
      </c>
      <c r="B30" s="36" t="s">
        <v>666</v>
      </c>
      <c r="C30" s="36" t="s">
        <v>635</v>
      </c>
      <c r="D30" s="36" t="s">
        <v>643</v>
      </c>
    </row>
    <row r="31" customFormat="false" ht="15" hidden="false" customHeight="false" outlineLevel="0" collapsed="false">
      <c r="A31" s="15" t="s">
        <v>214</v>
      </c>
      <c r="B31" s="36" t="s">
        <v>667</v>
      </c>
      <c r="C31" s="36" t="s">
        <v>635</v>
      </c>
      <c r="D31" s="36" t="s">
        <v>638</v>
      </c>
    </row>
    <row r="32" customFormat="false" ht="15" hidden="false" customHeight="false" outlineLevel="0" collapsed="false">
      <c r="A32" s="15" t="s">
        <v>215</v>
      </c>
      <c r="B32" s="36" t="s">
        <v>668</v>
      </c>
      <c r="C32" s="36" t="s">
        <v>656</v>
      </c>
      <c r="D32" s="36" t="s">
        <v>636</v>
      </c>
    </row>
    <row r="33" customFormat="false" ht="15" hidden="false" customHeight="false" outlineLevel="0" collapsed="false">
      <c r="A33" s="15" t="s">
        <v>216</v>
      </c>
      <c r="B33" s="36" t="s">
        <v>669</v>
      </c>
      <c r="C33" s="36" t="s">
        <v>640</v>
      </c>
      <c r="D33" s="36" t="s">
        <v>670</v>
      </c>
    </row>
    <row r="34" customFormat="false" ht="15" hidden="false" customHeight="false" outlineLevel="0" collapsed="false">
      <c r="A34" s="15" t="s">
        <v>217</v>
      </c>
      <c r="B34" s="36" t="s">
        <v>671</v>
      </c>
      <c r="C34" s="36" t="s">
        <v>640</v>
      </c>
      <c r="D34" s="36" t="s">
        <v>638</v>
      </c>
    </row>
    <row r="35" customFormat="false" ht="15" hidden="false" customHeight="false" outlineLevel="0" collapsed="false">
      <c r="A35" s="15" t="s">
        <v>218</v>
      </c>
      <c r="B35" s="36" t="s">
        <v>672</v>
      </c>
      <c r="C35" s="36" t="s">
        <v>635</v>
      </c>
      <c r="D35" s="36" t="s">
        <v>636</v>
      </c>
    </row>
    <row r="36" customFormat="false" ht="15" hidden="false" customHeight="false" outlineLevel="0" collapsed="false">
      <c r="A36" s="15" t="s">
        <v>219</v>
      </c>
      <c r="B36" s="36" t="s">
        <v>673</v>
      </c>
      <c r="C36" s="36" t="s">
        <v>640</v>
      </c>
      <c r="D36" s="36" t="s">
        <v>636</v>
      </c>
    </row>
    <row r="37" customFormat="false" ht="15" hidden="false" customHeight="false" outlineLevel="0" collapsed="false">
      <c r="A37" s="15" t="s">
        <v>220</v>
      </c>
      <c r="B37" s="36" t="s">
        <v>674</v>
      </c>
      <c r="C37" s="36" t="s">
        <v>656</v>
      </c>
      <c r="D37" s="36" t="s">
        <v>636</v>
      </c>
    </row>
    <row r="38" customFormat="false" ht="15" hidden="false" customHeight="false" outlineLevel="0" collapsed="false">
      <c r="A38" s="15" t="s">
        <v>221</v>
      </c>
      <c r="B38" s="36" t="s">
        <v>675</v>
      </c>
      <c r="C38" s="36" t="s">
        <v>635</v>
      </c>
      <c r="D38" s="36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37" t="s">
        <v>676</v>
      </c>
      <c r="B1" s="37" t="s">
        <v>677</v>
      </c>
      <c r="C1" s="37" t="s">
        <v>678</v>
      </c>
      <c r="D1" s="37" t="s">
        <v>679</v>
      </c>
      <c r="E1" s="37" t="s">
        <v>680</v>
      </c>
      <c r="F1" s="37" t="s">
        <v>681</v>
      </c>
      <c r="G1" s="37" t="s">
        <v>682</v>
      </c>
      <c r="H1" s="37" t="s">
        <v>683</v>
      </c>
      <c r="I1" s="37" t="s">
        <v>684</v>
      </c>
      <c r="J1" s="37" t="s">
        <v>685</v>
      </c>
    </row>
    <row r="2" customFormat="false" ht="15" hidden="false" customHeight="false" outlineLevel="0" collapsed="false">
      <c r="A2" s="2" t="s">
        <v>223</v>
      </c>
      <c r="B2" s="2" t="n">
        <v>42</v>
      </c>
      <c r="C2" s="2" t="s">
        <v>224</v>
      </c>
      <c r="D2" s="2" t="s">
        <v>225</v>
      </c>
      <c r="E2" s="2" t="s">
        <v>226</v>
      </c>
      <c r="F2" s="33" t="n">
        <v>45112</v>
      </c>
      <c r="G2" s="33" t="n">
        <v>45129</v>
      </c>
      <c r="H2" s="2" t="n">
        <v>3852</v>
      </c>
      <c r="I2" s="2" t="s">
        <v>228</v>
      </c>
      <c r="J2" s="2" t="s">
        <v>229</v>
      </c>
    </row>
    <row r="3" customFormat="false" ht="15" hidden="false" customHeight="false" outlineLevel="0" collapsed="false">
      <c r="A3" s="2" t="s">
        <v>232</v>
      </c>
      <c r="B3" s="2" t="n">
        <v>33</v>
      </c>
      <c r="C3" s="2" t="s">
        <v>233</v>
      </c>
      <c r="D3" s="2" t="s">
        <v>225</v>
      </c>
      <c r="E3" s="2" t="s">
        <v>226</v>
      </c>
      <c r="F3" s="33" t="n">
        <v>44990</v>
      </c>
      <c r="G3" s="33" t="n">
        <v>44993</v>
      </c>
      <c r="H3" s="2" t="n">
        <v>3852</v>
      </c>
      <c r="I3" s="2" t="s">
        <v>235</v>
      </c>
      <c r="J3" s="2" t="s">
        <v>236</v>
      </c>
    </row>
    <row r="4" customFormat="false" ht="15" hidden="false" customHeight="false" outlineLevel="0" collapsed="false">
      <c r="A4" s="2" t="s">
        <v>238</v>
      </c>
      <c r="B4" s="2" t="n">
        <v>42</v>
      </c>
      <c r="C4" s="2" t="s">
        <v>224</v>
      </c>
      <c r="D4" s="2" t="s">
        <v>239</v>
      </c>
      <c r="E4" s="2" t="s">
        <v>240</v>
      </c>
      <c r="F4" s="33" t="n">
        <v>45225</v>
      </c>
      <c r="G4" s="33" t="n">
        <v>45226</v>
      </c>
      <c r="H4" s="2" t="n">
        <v>961</v>
      </c>
      <c r="I4" s="2" t="s">
        <v>228</v>
      </c>
      <c r="J4" s="2" t="s">
        <v>229</v>
      </c>
    </row>
    <row r="5" customFormat="false" ht="15" hidden="false" customHeight="false" outlineLevel="0" collapsed="false">
      <c r="A5" s="2" t="s">
        <v>244</v>
      </c>
      <c r="B5" s="2" t="n">
        <v>84</v>
      </c>
      <c r="C5" s="2" t="s">
        <v>233</v>
      </c>
      <c r="D5" s="2" t="s">
        <v>239</v>
      </c>
      <c r="E5" s="2" t="s">
        <v>245</v>
      </c>
      <c r="F5" s="33" t="n">
        <v>45087</v>
      </c>
      <c r="G5" s="33" t="n">
        <v>45089</v>
      </c>
      <c r="H5" s="2" t="n">
        <v>1165</v>
      </c>
      <c r="I5" s="2" t="s">
        <v>235</v>
      </c>
      <c r="J5" s="2" t="s">
        <v>229</v>
      </c>
    </row>
    <row r="6" customFormat="false" ht="15" hidden="false" customHeight="false" outlineLevel="0" collapsed="false">
      <c r="A6" s="2" t="s">
        <v>248</v>
      </c>
      <c r="B6" s="2" t="n">
        <v>58</v>
      </c>
      <c r="C6" s="2" t="s">
        <v>224</v>
      </c>
      <c r="D6" s="2" t="s">
        <v>239</v>
      </c>
      <c r="E6" s="2" t="s">
        <v>249</v>
      </c>
      <c r="F6" s="33" t="n">
        <v>45084</v>
      </c>
      <c r="G6" s="33" t="n">
        <v>45088</v>
      </c>
      <c r="H6" s="2" t="n">
        <v>3852</v>
      </c>
      <c r="I6" s="2" t="s">
        <v>250</v>
      </c>
      <c r="J6" s="2" t="s">
        <v>229</v>
      </c>
    </row>
    <row r="7" customFormat="false" ht="15" hidden="false" customHeight="false" outlineLevel="0" collapsed="false">
      <c r="A7" s="2" t="s">
        <v>252</v>
      </c>
      <c r="B7" s="2" t="n">
        <v>17</v>
      </c>
      <c r="C7" s="2" t="s">
        <v>224</v>
      </c>
      <c r="D7" s="2" t="s">
        <v>239</v>
      </c>
      <c r="E7" s="2" t="s">
        <v>226</v>
      </c>
      <c r="F7" s="33" t="n">
        <v>44962</v>
      </c>
      <c r="G7" s="33" t="n">
        <v>44971</v>
      </c>
      <c r="H7" s="2" t="n">
        <v>3852</v>
      </c>
      <c r="I7" s="2" t="s">
        <v>250</v>
      </c>
      <c r="J7" s="2" t="s">
        <v>236</v>
      </c>
    </row>
    <row r="8" customFormat="false" ht="15" hidden="false" customHeight="false" outlineLevel="0" collapsed="false">
      <c r="A8" s="2" t="s">
        <v>254</v>
      </c>
      <c r="B8" s="2" t="n">
        <v>85</v>
      </c>
      <c r="C8" s="2" t="s">
        <v>233</v>
      </c>
      <c r="D8" s="2" t="s">
        <v>239</v>
      </c>
      <c r="E8" s="2" t="s">
        <v>255</v>
      </c>
      <c r="F8" s="33" t="n">
        <v>45285</v>
      </c>
      <c r="G8" s="33" t="n">
        <v>45287</v>
      </c>
      <c r="H8" s="2" t="n">
        <v>999</v>
      </c>
      <c r="I8" s="2" t="s">
        <v>235</v>
      </c>
      <c r="J8" s="2" t="s">
        <v>256</v>
      </c>
    </row>
    <row r="9" customFormat="false" ht="15" hidden="false" customHeight="false" outlineLevel="0" collapsed="false">
      <c r="A9" s="2" t="s">
        <v>259</v>
      </c>
      <c r="B9" s="2" t="n">
        <v>42</v>
      </c>
      <c r="C9" s="2" t="s">
        <v>233</v>
      </c>
      <c r="D9" s="2" t="s">
        <v>239</v>
      </c>
      <c r="E9" s="2" t="s">
        <v>260</v>
      </c>
      <c r="F9" s="33" t="n">
        <v>45051</v>
      </c>
      <c r="G9" s="33" t="n">
        <v>45054</v>
      </c>
      <c r="H9" s="2" t="n">
        <v>999</v>
      </c>
      <c r="I9" s="2" t="s">
        <v>250</v>
      </c>
      <c r="J9" s="2" t="s">
        <v>229</v>
      </c>
    </row>
    <row r="10" customFormat="false" ht="15" hidden="false" customHeight="false" outlineLevel="0" collapsed="false">
      <c r="A10" s="2" t="s">
        <v>262</v>
      </c>
      <c r="B10" s="2" t="n">
        <v>18</v>
      </c>
      <c r="C10" s="2" t="s">
        <v>224</v>
      </c>
      <c r="D10" s="2" t="s">
        <v>239</v>
      </c>
      <c r="E10" s="2" t="s">
        <v>263</v>
      </c>
      <c r="F10" s="33" t="n">
        <v>45217</v>
      </c>
      <c r="G10" s="33" t="n">
        <v>45219</v>
      </c>
      <c r="H10" s="2" t="n">
        <v>3852</v>
      </c>
      <c r="I10" s="2" t="s">
        <v>235</v>
      </c>
      <c r="J10" s="2" t="s">
        <v>229</v>
      </c>
    </row>
    <row r="11" customFormat="false" ht="15" hidden="false" customHeight="false" outlineLevel="0" collapsed="false">
      <c r="A11" s="2" t="s">
        <v>259</v>
      </c>
      <c r="B11" s="2" t="n">
        <v>40</v>
      </c>
      <c r="C11" s="2" t="s">
        <v>224</v>
      </c>
      <c r="D11" s="2" t="s">
        <v>239</v>
      </c>
      <c r="E11" s="2" t="s">
        <v>240</v>
      </c>
      <c r="F11" s="33" t="n">
        <v>45112</v>
      </c>
      <c r="G11" s="33" t="n">
        <v>45113</v>
      </c>
      <c r="H11" s="2" t="n">
        <v>999</v>
      </c>
      <c r="I11" s="2" t="s">
        <v>235</v>
      </c>
      <c r="J11" s="2" t="s">
        <v>256</v>
      </c>
    </row>
    <row r="12" customFormat="false" ht="15" hidden="false" customHeight="false" outlineLevel="0" collapsed="false">
      <c r="A12" s="2" t="s">
        <v>266</v>
      </c>
      <c r="B12" s="2" t="n">
        <v>78</v>
      </c>
      <c r="C12" s="2" t="s">
        <v>233</v>
      </c>
      <c r="D12" s="2" t="s">
        <v>239</v>
      </c>
      <c r="E12" s="2" t="s">
        <v>245</v>
      </c>
      <c r="F12" s="33" t="n">
        <v>45253</v>
      </c>
      <c r="G12" s="33" t="n">
        <v>45267</v>
      </c>
      <c r="H12" s="2" t="n">
        <v>999</v>
      </c>
      <c r="I12" s="2" t="s">
        <v>250</v>
      </c>
      <c r="J12" s="2" t="s">
        <v>236</v>
      </c>
    </row>
    <row r="13" customFormat="false" ht="15" hidden="false" customHeight="false" outlineLevel="0" collapsed="false">
      <c r="A13" s="2" t="s">
        <v>268</v>
      </c>
      <c r="B13" s="2" t="n">
        <v>11</v>
      </c>
      <c r="C13" s="2" t="s">
        <v>233</v>
      </c>
      <c r="D13" s="2" t="s">
        <v>239</v>
      </c>
      <c r="E13" s="2" t="s">
        <v>260</v>
      </c>
      <c r="F13" s="33" t="n">
        <v>44948</v>
      </c>
      <c r="G13" s="33" t="n">
        <v>44961</v>
      </c>
      <c r="H13" s="2" t="n">
        <v>3852</v>
      </c>
      <c r="I13" s="2" t="s">
        <v>228</v>
      </c>
      <c r="J13" s="2" t="s">
        <v>229</v>
      </c>
    </row>
    <row r="14" customFormat="false" ht="15" hidden="false" customHeight="false" outlineLevel="0" collapsed="false">
      <c r="A14" s="2" t="s">
        <v>270</v>
      </c>
      <c r="B14" s="2" t="n">
        <v>50</v>
      </c>
      <c r="C14" s="2" t="s">
        <v>224</v>
      </c>
      <c r="D14" s="2" t="s">
        <v>239</v>
      </c>
      <c r="E14" s="2" t="s">
        <v>226</v>
      </c>
      <c r="F14" s="33" t="n">
        <v>45253</v>
      </c>
      <c r="G14" s="33" t="n">
        <v>45257</v>
      </c>
      <c r="H14" s="2" t="n">
        <v>3898</v>
      </c>
      <c r="I14" s="2" t="s">
        <v>235</v>
      </c>
      <c r="J14" s="2" t="s">
        <v>236</v>
      </c>
    </row>
    <row r="15" customFormat="false" ht="15" hidden="false" customHeight="false" outlineLevel="0" collapsed="false">
      <c r="A15" s="2" t="s">
        <v>272</v>
      </c>
      <c r="B15" s="2" t="n">
        <v>87</v>
      </c>
      <c r="C15" s="2" t="s">
        <v>233</v>
      </c>
      <c r="D15" s="2" t="s">
        <v>239</v>
      </c>
      <c r="E15" s="2" t="s">
        <v>255</v>
      </c>
      <c r="F15" s="33" t="n">
        <v>45051</v>
      </c>
      <c r="G15" s="33" t="n">
        <v>45063</v>
      </c>
      <c r="H15" s="2" t="n">
        <v>3852</v>
      </c>
      <c r="I15" s="2" t="s">
        <v>228</v>
      </c>
      <c r="J15" s="2" t="s">
        <v>236</v>
      </c>
    </row>
    <row r="16" customFormat="false" ht="15" hidden="false" customHeight="false" outlineLevel="0" collapsed="false">
      <c r="A16" s="2" t="s">
        <v>274</v>
      </c>
      <c r="B16" s="2" t="n">
        <v>69</v>
      </c>
      <c r="C16" s="2" t="s">
        <v>233</v>
      </c>
      <c r="D16" s="2" t="s">
        <v>275</v>
      </c>
      <c r="E16" s="2" t="s">
        <v>249</v>
      </c>
      <c r="F16" s="33" t="n">
        <v>44979</v>
      </c>
      <c r="G16" s="33" t="n">
        <v>44982</v>
      </c>
      <c r="H16" s="2" t="n">
        <v>2390</v>
      </c>
      <c r="I16" s="2" t="s">
        <v>235</v>
      </c>
      <c r="J16" s="2" t="s">
        <v>236</v>
      </c>
    </row>
    <row r="17" customFormat="false" ht="15" hidden="false" customHeight="false" outlineLevel="0" collapsed="false">
      <c r="A17" s="2" t="s">
        <v>277</v>
      </c>
      <c r="B17" s="2" t="n">
        <v>80</v>
      </c>
      <c r="C17" s="2" t="s">
        <v>233</v>
      </c>
      <c r="D17" s="2" t="s">
        <v>275</v>
      </c>
      <c r="E17" s="2" t="s">
        <v>226</v>
      </c>
      <c r="F17" s="33" t="n">
        <v>45105</v>
      </c>
      <c r="G17" s="33" t="n">
        <v>45114</v>
      </c>
      <c r="H17" s="2" t="n">
        <v>999</v>
      </c>
      <c r="I17" s="2" t="s">
        <v>235</v>
      </c>
      <c r="J17" s="2" t="s">
        <v>229</v>
      </c>
    </row>
    <row r="18" customFormat="false" ht="15" hidden="false" customHeight="false" outlineLevel="0" collapsed="false">
      <c r="A18" s="2" t="s">
        <v>266</v>
      </c>
      <c r="B18" s="2" t="n">
        <v>21</v>
      </c>
      <c r="C18" s="2" t="s">
        <v>224</v>
      </c>
      <c r="D18" s="2" t="s">
        <v>239</v>
      </c>
      <c r="E18" s="2" t="s">
        <v>245</v>
      </c>
      <c r="F18" s="33" t="n">
        <v>45089</v>
      </c>
      <c r="G18" s="33" t="n">
        <v>45090</v>
      </c>
      <c r="H18" s="2" t="n">
        <v>999</v>
      </c>
      <c r="I18" s="2" t="s">
        <v>228</v>
      </c>
      <c r="J18" s="2" t="s">
        <v>236</v>
      </c>
    </row>
    <row r="19" customFormat="false" ht="15" hidden="false" customHeight="false" outlineLevel="0" collapsed="false">
      <c r="A19" s="2" t="s">
        <v>280</v>
      </c>
      <c r="B19" s="2" t="n">
        <v>7</v>
      </c>
      <c r="C19" s="2" t="s">
        <v>233</v>
      </c>
      <c r="D19" s="2" t="s">
        <v>239</v>
      </c>
      <c r="E19" s="2" t="s">
        <v>245</v>
      </c>
      <c r="F19" s="33" t="n">
        <v>45069</v>
      </c>
      <c r="G19" s="33" t="n">
        <v>45072</v>
      </c>
      <c r="H19" s="2" t="n">
        <v>973</v>
      </c>
      <c r="I19" s="2" t="s">
        <v>235</v>
      </c>
      <c r="J19" s="2" t="s">
        <v>256</v>
      </c>
    </row>
    <row r="20" customFormat="false" ht="15" hidden="false" customHeight="false" outlineLevel="0" collapsed="false">
      <c r="A20" s="2" t="s">
        <v>282</v>
      </c>
      <c r="B20" s="2" t="n">
        <v>45</v>
      </c>
      <c r="C20" s="2" t="s">
        <v>233</v>
      </c>
      <c r="D20" s="2" t="s">
        <v>239</v>
      </c>
      <c r="E20" s="2" t="s">
        <v>260</v>
      </c>
      <c r="F20" s="33" t="n">
        <v>45235</v>
      </c>
      <c r="G20" s="33" t="n">
        <v>45252</v>
      </c>
      <c r="H20" s="2" t="n">
        <v>999</v>
      </c>
      <c r="I20" s="2" t="s">
        <v>235</v>
      </c>
      <c r="J20" s="2" t="s">
        <v>256</v>
      </c>
    </row>
    <row r="21" customFormat="false" ht="15" hidden="false" customHeight="false" outlineLevel="0" collapsed="false">
      <c r="A21" s="2" t="s">
        <v>285</v>
      </c>
      <c r="B21" s="2" t="n">
        <v>21</v>
      </c>
      <c r="C21" s="2" t="s">
        <v>224</v>
      </c>
      <c r="D21" s="2" t="s">
        <v>239</v>
      </c>
      <c r="E21" s="2" t="s">
        <v>249</v>
      </c>
      <c r="F21" s="33" t="n">
        <v>45140</v>
      </c>
      <c r="G21" s="33" t="n">
        <v>45144</v>
      </c>
      <c r="H21" s="2" t="n">
        <v>999</v>
      </c>
      <c r="I21" s="2" t="s">
        <v>235</v>
      </c>
      <c r="J21" s="2" t="s">
        <v>229</v>
      </c>
    </row>
    <row r="22" customFormat="false" ht="15" hidden="false" customHeight="false" outlineLevel="0" collapsed="false">
      <c r="A22" s="2" t="s">
        <v>287</v>
      </c>
      <c r="B22" s="2" t="n">
        <v>72</v>
      </c>
      <c r="C22" s="2" t="s">
        <v>224</v>
      </c>
      <c r="D22" s="2" t="s">
        <v>239</v>
      </c>
      <c r="E22" s="2" t="s">
        <v>240</v>
      </c>
      <c r="F22" s="33" t="n">
        <v>45088</v>
      </c>
      <c r="G22" s="33" t="n">
        <v>45092</v>
      </c>
      <c r="H22" s="2" t="n">
        <v>1665</v>
      </c>
      <c r="I22" s="2" t="s">
        <v>228</v>
      </c>
      <c r="J22" s="2" t="s">
        <v>256</v>
      </c>
    </row>
    <row r="23" customFormat="false" ht="15" hidden="false" customHeight="false" outlineLevel="0" collapsed="false">
      <c r="A23" s="2" t="s">
        <v>287</v>
      </c>
      <c r="B23" s="2" t="n">
        <v>72</v>
      </c>
      <c r="C23" s="2" t="s">
        <v>224</v>
      </c>
      <c r="D23" s="2" t="s">
        <v>239</v>
      </c>
      <c r="E23" s="2" t="s">
        <v>240</v>
      </c>
      <c r="F23" s="33" t="n">
        <v>45088</v>
      </c>
      <c r="G23" s="33" t="n">
        <v>45092</v>
      </c>
      <c r="H23" s="2" t="n">
        <v>1665</v>
      </c>
      <c r="I23" s="2" t="s">
        <v>228</v>
      </c>
      <c r="J23" s="2" t="s">
        <v>256</v>
      </c>
    </row>
    <row r="24" customFormat="false" ht="15" hidden="false" customHeight="false" outlineLevel="0" collapsed="false">
      <c r="A24" s="2" t="s">
        <v>289</v>
      </c>
      <c r="B24" s="2" t="n">
        <v>82</v>
      </c>
      <c r="C24" s="2" t="s">
        <v>224</v>
      </c>
      <c r="D24" s="2" t="s">
        <v>239</v>
      </c>
      <c r="E24" s="2" t="s">
        <v>263</v>
      </c>
      <c r="F24" s="33" t="n">
        <v>45055</v>
      </c>
      <c r="G24" s="33" t="n">
        <v>45069</v>
      </c>
      <c r="H24" s="2" t="n">
        <v>3852</v>
      </c>
      <c r="I24" s="2" t="s">
        <v>235</v>
      </c>
      <c r="J24" s="2" t="s">
        <v>256</v>
      </c>
    </row>
    <row r="25" customFormat="false" ht="15" hidden="false" customHeight="false" outlineLevel="0" collapsed="false">
      <c r="A25" s="2" t="s">
        <v>291</v>
      </c>
      <c r="B25" s="2" t="n">
        <v>67</v>
      </c>
      <c r="C25" s="2" t="s">
        <v>224</v>
      </c>
      <c r="D25" s="2" t="s">
        <v>239</v>
      </c>
      <c r="E25" s="2" t="s">
        <v>226</v>
      </c>
      <c r="F25" s="33" t="n">
        <v>45111</v>
      </c>
      <c r="G25" s="33" t="n">
        <v>45117</v>
      </c>
      <c r="H25" s="2" t="n">
        <v>3852</v>
      </c>
      <c r="I25" s="2" t="s">
        <v>250</v>
      </c>
      <c r="J25" s="2" t="s">
        <v>256</v>
      </c>
    </row>
    <row r="26" customFormat="false" ht="15" hidden="false" customHeight="false" outlineLevel="0" collapsed="false">
      <c r="A26" s="2" t="s">
        <v>293</v>
      </c>
      <c r="B26" s="2" t="n">
        <v>44</v>
      </c>
      <c r="C26" s="2" t="s">
        <v>224</v>
      </c>
      <c r="D26" s="2" t="s">
        <v>239</v>
      </c>
      <c r="E26" s="2" t="s">
        <v>226</v>
      </c>
      <c r="F26" s="33" t="n">
        <v>45244</v>
      </c>
      <c r="G26" s="33" t="n">
        <v>45245</v>
      </c>
      <c r="H26" s="2" t="n">
        <v>3852</v>
      </c>
      <c r="I26" s="2" t="s">
        <v>235</v>
      </c>
      <c r="J26" s="2" t="s">
        <v>256</v>
      </c>
    </row>
    <row r="27" customFormat="false" ht="15" hidden="false" customHeight="false" outlineLevel="0" collapsed="false">
      <c r="A27" s="2" t="s">
        <v>272</v>
      </c>
      <c r="B27" s="2" t="n">
        <v>31</v>
      </c>
      <c r="C27" s="2" t="s">
        <v>224</v>
      </c>
      <c r="D27" s="2" t="s">
        <v>239</v>
      </c>
      <c r="E27" s="2" t="s">
        <v>245</v>
      </c>
      <c r="F27" s="33" t="n">
        <v>45018</v>
      </c>
      <c r="G27" s="33" t="n">
        <v>45029</v>
      </c>
      <c r="H27" s="2" t="n">
        <v>3852</v>
      </c>
      <c r="I27" s="2" t="s">
        <v>250</v>
      </c>
      <c r="J27" s="2" t="s">
        <v>236</v>
      </c>
    </row>
    <row r="28" customFormat="false" ht="15" hidden="false" customHeight="false" outlineLevel="0" collapsed="false">
      <c r="A28" s="2" t="s">
        <v>296</v>
      </c>
      <c r="B28" s="2" t="n">
        <v>14</v>
      </c>
      <c r="C28" s="2" t="s">
        <v>224</v>
      </c>
      <c r="D28" s="2" t="s">
        <v>239</v>
      </c>
      <c r="E28" s="2" t="s">
        <v>226</v>
      </c>
      <c r="F28" s="33" t="n">
        <v>45050</v>
      </c>
      <c r="G28" s="33" t="n">
        <v>45054</v>
      </c>
      <c r="H28" s="2" t="n">
        <v>2973</v>
      </c>
      <c r="I28" s="2" t="s">
        <v>235</v>
      </c>
      <c r="J28" s="2" t="s">
        <v>236</v>
      </c>
    </row>
    <row r="29" customFormat="false" ht="15" hidden="false" customHeight="false" outlineLevel="0" collapsed="false">
      <c r="A29" s="2" t="s">
        <v>298</v>
      </c>
      <c r="B29" s="2" t="n">
        <v>12</v>
      </c>
      <c r="C29" s="2" t="s">
        <v>233</v>
      </c>
      <c r="D29" s="2" t="s">
        <v>239</v>
      </c>
      <c r="E29" s="2" t="s">
        <v>255</v>
      </c>
      <c r="F29" s="33" t="n">
        <v>44953</v>
      </c>
      <c r="G29" s="33" t="n">
        <v>44969</v>
      </c>
      <c r="H29" s="2" t="n">
        <v>3852</v>
      </c>
      <c r="I29" s="2" t="s">
        <v>235</v>
      </c>
      <c r="J29" s="2" t="s">
        <v>236</v>
      </c>
    </row>
    <row r="30" customFormat="false" ht="15" hidden="false" customHeight="false" outlineLevel="0" collapsed="false">
      <c r="A30" s="2" t="s">
        <v>300</v>
      </c>
      <c r="B30" s="2" t="n">
        <v>58</v>
      </c>
      <c r="C30" s="2" t="s">
        <v>233</v>
      </c>
      <c r="D30" s="2" t="s">
        <v>239</v>
      </c>
      <c r="E30" s="2" t="s">
        <v>263</v>
      </c>
      <c r="F30" s="33" t="n">
        <v>45011</v>
      </c>
      <c r="G30" s="33" t="n">
        <v>45018</v>
      </c>
      <c r="H30" s="2" t="n">
        <v>999</v>
      </c>
      <c r="I30" s="2" t="s">
        <v>228</v>
      </c>
      <c r="J30" s="2" t="s">
        <v>236</v>
      </c>
    </row>
    <row r="31" customFormat="false" ht="15" hidden="false" customHeight="false" outlineLevel="0" collapsed="false">
      <c r="A31" s="2" t="s">
        <v>232</v>
      </c>
      <c r="B31" s="2" t="n">
        <v>36</v>
      </c>
      <c r="C31" s="2" t="s">
        <v>224</v>
      </c>
      <c r="D31" s="2" t="s">
        <v>239</v>
      </c>
      <c r="E31" s="2" t="s">
        <v>263</v>
      </c>
      <c r="F31" s="33" t="n">
        <v>45208</v>
      </c>
      <c r="G31" s="33" t="n">
        <v>45222</v>
      </c>
      <c r="H31" s="2" t="n">
        <v>999</v>
      </c>
      <c r="I31" s="2" t="s">
        <v>235</v>
      </c>
      <c r="J31" s="2" t="s">
        <v>236</v>
      </c>
    </row>
    <row r="32" customFormat="false" ht="15" hidden="false" customHeight="false" outlineLevel="0" collapsed="false">
      <c r="A32" s="2" t="s">
        <v>303</v>
      </c>
      <c r="B32" s="2" t="n">
        <v>73</v>
      </c>
      <c r="C32" s="2" t="s">
        <v>233</v>
      </c>
      <c r="D32" s="2" t="s">
        <v>239</v>
      </c>
      <c r="E32" s="2" t="s">
        <v>240</v>
      </c>
      <c r="F32" s="33" t="n">
        <v>45209</v>
      </c>
      <c r="G32" s="33" t="n">
        <v>45211</v>
      </c>
      <c r="H32" s="2" t="n">
        <v>3852</v>
      </c>
      <c r="I32" s="2" t="s">
        <v>235</v>
      </c>
      <c r="J32" s="2" t="s">
        <v>256</v>
      </c>
    </row>
    <row r="33" customFormat="false" ht="15" hidden="false" customHeight="false" outlineLevel="0" collapsed="false">
      <c r="A33" s="2" t="s">
        <v>244</v>
      </c>
      <c r="B33" s="2" t="n">
        <v>17</v>
      </c>
      <c r="C33" s="2" t="s">
        <v>224</v>
      </c>
      <c r="D33" s="2" t="s">
        <v>239</v>
      </c>
      <c r="E33" s="2" t="s">
        <v>263</v>
      </c>
      <c r="F33" s="33" t="n">
        <v>45272</v>
      </c>
      <c r="G33" s="33" t="n">
        <v>45273</v>
      </c>
      <c r="H33" s="2" t="n">
        <v>3852</v>
      </c>
      <c r="I33" s="2" t="s">
        <v>250</v>
      </c>
      <c r="J33" s="2" t="s">
        <v>236</v>
      </c>
    </row>
    <row r="34" customFormat="false" ht="15" hidden="false" customHeight="false" outlineLevel="0" collapsed="false">
      <c r="A34" s="2" t="s">
        <v>232</v>
      </c>
      <c r="B34" s="2" t="n">
        <v>5</v>
      </c>
      <c r="C34" s="2" t="s">
        <v>224</v>
      </c>
      <c r="D34" s="2" t="s">
        <v>239</v>
      </c>
      <c r="E34" s="2" t="s">
        <v>249</v>
      </c>
      <c r="F34" s="33" t="n">
        <v>44997</v>
      </c>
      <c r="G34" s="33" t="n">
        <v>44992</v>
      </c>
      <c r="H34" s="2" t="n">
        <v>999</v>
      </c>
      <c r="I34" s="2" t="s">
        <v>250</v>
      </c>
      <c r="J34" s="2" t="s">
        <v>229</v>
      </c>
    </row>
    <row r="35" customFormat="false" ht="15" hidden="false" customHeight="false" outlineLevel="0" collapsed="false">
      <c r="A35" s="2" t="s">
        <v>307</v>
      </c>
      <c r="B35" s="2" t="n">
        <v>7</v>
      </c>
      <c r="C35" s="2" t="s">
        <v>224</v>
      </c>
      <c r="D35" s="2" t="s">
        <v>239</v>
      </c>
      <c r="E35" s="2" t="s">
        <v>263</v>
      </c>
      <c r="F35" s="33" t="n">
        <v>45096</v>
      </c>
      <c r="G35" s="33" t="n">
        <v>45101</v>
      </c>
      <c r="H35" s="2" t="n">
        <v>3852</v>
      </c>
      <c r="I35" s="2" t="s">
        <v>235</v>
      </c>
      <c r="J35" s="2" t="s">
        <v>229</v>
      </c>
    </row>
    <row r="36" customFormat="false" ht="15" hidden="false" customHeight="false" outlineLevel="0" collapsed="false">
      <c r="A36" s="2" t="s">
        <v>300</v>
      </c>
      <c r="B36" s="2" t="n">
        <v>16</v>
      </c>
      <c r="C36" s="2" t="s">
        <v>224</v>
      </c>
      <c r="D36" s="2" t="s">
        <v>239</v>
      </c>
      <c r="E36" s="2" t="s">
        <v>245</v>
      </c>
      <c r="F36" s="33" t="n">
        <v>45000</v>
      </c>
      <c r="G36" s="33" t="n">
        <v>45008</v>
      </c>
      <c r="H36" s="2" t="n">
        <v>6551</v>
      </c>
      <c r="I36" s="2" t="s">
        <v>250</v>
      </c>
      <c r="J36" s="2" t="s">
        <v>256</v>
      </c>
    </row>
    <row r="37" customFormat="false" ht="15" hidden="false" customHeight="false" outlineLevel="0" collapsed="false">
      <c r="A37" s="2" t="s">
        <v>310</v>
      </c>
      <c r="B37" s="2" t="n">
        <v>34</v>
      </c>
      <c r="C37" s="2" t="s">
        <v>233</v>
      </c>
      <c r="D37" s="2" t="s">
        <v>239</v>
      </c>
      <c r="E37" s="2" t="s">
        <v>260</v>
      </c>
      <c r="F37" s="33" t="n">
        <v>45163</v>
      </c>
      <c r="G37" s="33" t="n">
        <v>45182</v>
      </c>
      <c r="H37" s="2" t="n">
        <v>999</v>
      </c>
      <c r="I37" s="2" t="s">
        <v>235</v>
      </c>
      <c r="J37" s="2" t="s">
        <v>236</v>
      </c>
    </row>
    <row r="38" customFormat="false" ht="15" hidden="false" customHeight="false" outlineLevel="0" collapsed="false">
      <c r="A38" s="2" t="s">
        <v>312</v>
      </c>
      <c r="B38" s="2" t="n">
        <v>86</v>
      </c>
      <c r="C38" s="2" t="s">
        <v>233</v>
      </c>
      <c r="D38" s="2" t="s">
        <v>239</v>
      </c>
      <c r="E38" s="2" t="s">
        <v>245</v>
      </c>
      <c r="F38" s="33" t="n">
        <v>45246</v>
      </c>
      <c r="G38" s="33" t="n">
        <v>45249</v>
      </c>
      <c r="H38" s="2" t="n">
        <v>999</v>
      </c>
      <c r="I38" s="2" t="s">
        <v>228</v>
      </c>
      <c r="J38" s="2" t="s">
        <v>229</v>
      </c>
    </row>
    <row r="39" customFormat="false" ht="15" hidden="false" customHeight="false" outlineLevel="0" collapsed="false">
      <c r="A39" s="2" t="s">
        <v>298</v>
      </c>
      <c r="B39" s="2" t="n">
        <v>70</v>
      </c>
      <c r="C39" s="2" t="s">
        <v>224</v>
      </c>
      <c r="D39" s="2" t="s">
        <v>239</v>
      </c>
      <c r="E39" s="2" t="s">
        <v>260</v>
      </c>
      <c r="F39" s="33" t="n">
        <v>45282</v>
      </c>
      <c r="G39" s="33" t="n">
        <v>45281</v>
      </c>
      <c r="H39" s="2" t="n">
        <v>3852</v>
      </c>
      <c r="I39" s="2" t="s">
        <v>250</v>
      </c>
      <c r="J39" s="2" t="s">
        <v>236</v>
      </c>
    </row>
    <row r="40" customFormat="false" ht="15" hidden="false" customHeight="false" outlineLevel="0" collapsed="false">
      <c r="A40" s="2" t="s">
        <v>315</v>
      </c>
      <c r="B40" s="2" t="n">
        <v>90</v>
      </c>
      <c r="C40" s="2" t="s">
        <v>224</v>
      </c>
      <c r="D40" s="2" t="s">
        <v>239</v>
      </c>
      <c r="E40" s="2" t="s">
        <v>249</v>
      </c>
      <c r="F40" s="33" t="n">
        <v>45071</v>
      </c>
      <c r="G40" s="33" t="n">
        <v>45076</v>
      </c>
      <c r="H40" s="2" t="n">
        <v>3852</v>
      </c>
      <c r="I40" s="2" t="s">
        <v>250</v>
      </c>
      <c r="J40" s="2" t="s">
        <v>229</v>
      </c>
    </row>
    <row r="41" customFormat="false" ht="15" hidden="false" customHeight="false" outlineLevel="0" collapsed="false">
      <c r="A41" s="2" t="s">
        <v>317</v>
      </c>
      <c r="B41" s="2" t="n">
        <v>19</v>
      </c>
      <c r="C41" s="2" t="s">
        <v>224</v>
      </c>
      <c r="D41" s="2" t="s">
        <v>239</v>
      </c>
      <c r="E41" s="2" t="s">
        <v>263</v>
      </c>
      <c r="F41" s="33" t="n">
        <v>45236</v>
      </c>
      <c r="G41" s="33" t="n">
        <v>45235</v>
      </c>
      <c r="H41" s="2" t="n">
        <v>3852</v>
      </c>
      <c r="I41" s="2" t="s">
        <v>228</v>
      </c>
      <c r="J41" s="2" t="s">
        <v>229</v>
      </c>
    </row>
    <row r="42" customFormat="false" ht="15" hidden="false" customHeight="false" outlineLevel="0" collapsed="false">
      <c r="A42" s="2" t="s">
        <v>319</v>
      </c>
      <c r="B42" s="2" t="n">
        <v>88</v>
      </c>
      <c r="C42" s="2" t="s">
        <v>224</v>
      </c>
      <c r="D42" s="2" t="s">
        <v>239</v>
      </c>
      <c r="E42" s="2" t="s">
        <v>226</v>
      </c>
      <c r="F42" s="33" t="n">
        <v>45073</v>
      </c>
      <c r="G42" s="33" t="n">
        <v>45091</v>
      </c>
      <c r="H42" s="2" t="n">
        <v>999</v>
      </c>
      <c r="I42" s="2" t="s">
        <v>250</v>
      </c>
      <c r="J42" s="2" t="s">
        <v>229</v>
      </c>
    </row>
    <row r="43" customFormat="false" ht="15" hidden="false" customHeight="false" outlineLevel="0" collapsed="false">
      <c r="A43" s="2" t="s">
        <v>321</v>
      </c>
      <c r="B43" s="2" t="n">
        <v>60</v>
      </c>
      <c r="C43" s="2" t="s">
        <v>224</v>
      </c>
      <c r="D43" s="2" t="s">
        <v>239</v>
      </c>
      <c r="E43" s="2" t="s">
        <v>263</v>
      </c>
      <c r="F43" s="33" t="n">
        <v>44934</v>
      </c>
      <c r="G43" s="33" t="n">
        <v>44937</v>
      </c>
      <c r="H43" s="2" t="n">
        <v>999</v>
      </c>
      <c r="I43" s="2" t="s">
        <v>228</v>
      </c>
      <c r="J43" s="2" t="s">
        <v>236</v>
      </c>
    </row>
    <row r="44" customFormat="false" ht="15" hidden="false" customHeight="false" outlineLevel="0" collapsed="false">
      <c r="A44" s="2" t="s">
        <v>323</v>
      </c>
      <c r="B44" s="2" t="n">
        <v>15</v>
      </c>
      <c r="C44" s="2" t="s">
        <v>224</v>
      </c>
      <c r="D44" s="2" t="s">
        <v>239</v>
      </c>
      <c r="E44" s="2" t="s">
        <v>263</v>
      </c>
      <c r="F44" s="33" t="n">
        <v>44959</v>
      </c>
      <c r="G44" s="33" t="n">
        <v>44963</v>
      </c>
      <c r="H44" s="2" t="n">
        <v>999</v>
      </c>
      <c r="I44" s="2" t="s">
        <v>235</v>
      </c>
      <c r="J44" s="2" t="s">
        <v>236</v>
      </c>
    </row>
    <row r="45" customFormat="false" ht="15" hidden="false" customHeight="false" outlineLevel="0" collapsed="false">
      <c r="A45" s="2" t="s">
        <v>325</v>
      </c>
      <c r="B45" s="2" t="n">
        <v>22</v>
      </c>
      <c r="C45" s="2" t="s">
        <v>233</v>
      </c>
      <c r="D45" s="2" t="s">
        <v>239</v>
      </c>
      <c r="E45" s="2" t="s">
        <v>255</v>
      </c>
      <c r="F45" s="33" t="n">
        <v>45171</v>
      </c>
      <c r="G45" s="33" t="n">
        <v>45175</v>
      </c>
      <c r="H45" s="2" t="n">
        <v>2298</v>
      </c>
      <c r="I45" s="2" t="s">
        <v>228</v>
      </c>
      <c r="J45" s="2" t="s">
        <v>256</v>
      </c>
    </row>
    <row r="46" customFormat="false" ht="15" hidden="false" customHeight="false" outlineLevel="0" collapsed="false">
      <c r="A46" s="2" t="s">
        <v>327</v>
      </c>
      <c r="B46" s="2" t="n">
        <v>38</v>
      </c>
      <c r="C46" s="2" t="s">
        <v>233</v>
      </c>
      <c r="D46" s="2" t="s">
        <v>239</v>
      </c>
      <c r="E46" s="2" t="s">
        <v>240</v>
      </c>
      <c r="F46" s="33" t="n">
        <v>44936</v>
      </c>
      <c r="G46" s="33" t="n">
        <v>44939</v>
      </c>
      <c r="H46" s="2" t="n">
        <v>999</v>
      </c>
      <c r="I46" s="2" t="s">
        <v>250</v>
      </c>
      <c r="J46" s="2" t="s">
        <v>256</v>
      </c>
    </row>
    <row r="47" customFormat="false" ht="15" hidden="false" customHeight="false" outlineLevel="0" collapsed="false">
      <c r="A47" s="2" t="s">
        <v>329</v>
      </c>
      <c r="B47" s="2" t="n">
        <v>28</v>
      </c>
      <c r="C47" s="2" t="s">
        <v>224</v>
      </c>
      <c r="D47" s="2" t="s">
        <v>330</v>
      </c>
      <c r="E47" s="2" t="s">
        <v>245</v>
      </c>
      <c r="F47" s="33" t="n">
        <v>44959</v>
      </c>
      <c r="G47" s="33" t="n">
        <v>44960</v>
      </c>
      <c r="H47" s="2" t="n">
        <v>2600</v>
      </c>
      <c r="I47" s="2" t="s">
        <v>235</v>
      </c>
      <c r="J47" s="2" t="s">
        <v>256</v>
      </c>
    </row>
    <row r="48" customFormat="false" ht="15" hidden="false" customHeight="false" outlineLevel="0" collapsed="false">
      <c r="A48" s="2" t="s">
        <v>248</v>
      </c>
      <c r="B48" s="2" t="n">
        <v>3</v>
      </c>
      <c r="C48" s="2" t="s">
        <v>224</v>
      </c>
      <c r="D48" s="2" t="s">
        <v>330</v>
      </c>
      <c r="E48" s="2" t="s">
        <v>260</v>
      </c>
      <c r="F48" s="33" t="n">
        <v>45091</v>
      </c>
      <c r="G48" s="33" t="n">
        <v>45093</v>
      </c>
      <c r="H48" s="2" t="n">
        <v>1326</v>
      </c>
      <c r="I48" s="2" t="s">
        <v>250</v>
      </c>
      <c r="J48" s="2" t="s">
        <v>236</v>
      </c>
    </row>
    <row r="49" customFormat="false" ht="15" hidden="false" customHeight="false" outlineLevel="0" collapsed="false">
      <c r="A49" s="2" t="s">
        <v>319</v>
      </c>
      <c r="B49" s="2" t="n">
        <v>45</v>
      </c>
      <c r="C49" s="2" t="s">
        <v>233</v>
      </c>
      <c r="D49" s="2" t="s">
        <v>330</v>
      </c>
      <c r="E49" s="2" t="s">
        <v>263</v>
      </c>
      <c r="F49" s="33" t="n">
        <v>45088</v>
      </c>
      <c r="G49" s="33" t="n">
        <v>45095</v>
      </c>
      <c r="H49" s="2" t="n">
        <v>5157</v>
      </c>
      <c r="I49" s="2" t="s">
        <v>250</v>
      </c>
      <c r="J49" s="2" t="s">
        <v>256</v>
      </c>
    </row>
    <row r="50" customFormat="false" ht="15" hidden="false" customHeight="false" outlineLevel="0" collapsed="false">
      <c r="A50" s="2" t="s">
        <v>334</v>
      </c>
      <c r="B50" s="2" t="n">
        <v>41</v>
      </c>
      <c r="C50" s="2" t="s">
        <v>224</v>
      </c>
      <c r="D50" s="2" t="s">
        <v>330</v>
      </c>
      <c r="E50" s="2" t="s">
        <v>255</v>
      </c>
      <c r="F50" s="33" t="n">
        <v>45071</v>
      </c>
      <c r="G50" s="33" t="n">
        <v>45074</v>
      </c>
      <c r="H50" s="2" t="n">
        <v>1416</v>
      </c>
      <c r="I50" s="2" t="s">
        <v>250</v>
      </c>
      <c r="J50" s="2" t="s">
        <v>256</v>
      </c>
    </row>
    <row r="51" customFormat="false" ht="15" hidden="false" customHeight="false" outlineLevel="0" collapsed="false">
      <c r="A51" s="2" t="s">
        <v>336</v>
      </c>
      <c r="B51" s="2" t="n">
        <v>87</v>
      </c>
      <c r="C51" s="2" t="s">
        <v>233</v>
      </c>
      <c r="D51" s="2" t="s">
        <v>330</v>
      </c>
      <c r="E51" s="2" t="s">
        <v>249</v>
      </c>
      <c r="F51" s="33" t="n">
        <v>44972</v>
      </c>
      <c r="G51" s="33" t="n">
        <v>44990</v>
      </c>
      <c r="H51" s="2" t="n">
        <v>999</v>
      </c>
      <c r="I51" s="2" t="s">
        <v>250</v>
      </c>
      <c r="J51" s="2" t="s">
        <v>256</v>
      </c>
    </row>
    <row r="52" customFormat="false" ht="15" hidden="false" customHeight="false" outlineLevel="0" collapsed="false">
      <c r="A52" s="2" t="s">
        <v>338</v>
      </c>
      <c r="B52" s="2" t="n">
        <v>65</v>
      </c>
      <c r="C52" s="2" t="s">
        <v>224</v>
      </c>
      <c r="D52" s="2" t="s">
        <v>330</v>
      </c>
      <c r="E52" s="2" t="s">
        <v>245</v>
      </c>
      <c r="F52" s="33" t="n">
        <v>45127</v>
      </c>
      <c r="G52" s="33" t="n">
        <v>45130</v>
      </c>
      <c r="H52" s="2" t="n">
        <v>999</v>
      </c>
      <c r="I52" s="2" t="s">
        <v>250</v>
      </c>
      <c r="J52" s="2" t="s">
        <v>256</v>
      </c>
    </row>
    <row r="53" customFormat="false" ht="15" hidden="false" customHeight="false" outlineLevel="0" collapsed="false">
      <c r="A53" s="2" t="s">
        <v>340</v>
      </c>
      <c r="B53" s="2" t="n">
        <v>49</v>
      </c>
      <c r="C53" s="2" t="s">
        <v>224</v>
      </c>
      <c r="D53" s="2" t="s">
        <v>330</v>
      </c>
      <c r="E53" s="2" t="s">
        <v>260</v>
      </c>
      <c r="F53" s="33" t="n">
        <v>45276</v>
      </c>
      <c r="G53" s="33" t="n">
        <v>45280</v>
      </c>
      <c r="H53" s="2" t="n">
        <v>3852</v>
      </c>
      <c r="I53" s="2" t="s">
        <v>235</v>
      </c>
      <c r="J53" s="2" t="s">
        <v>229</v>
      </c>
    </row>
    <row r="54" customFormat="false" ht="15" hidden="false" customHeight="false" outlineLevel="0" collapsed="false">
      <c r="A54" s="2" t="s">
        <v>238</v>
      </c>
      <c r="B54" s="2" t="n">
        <v>1</v>
      </c>
      <c r="C54" s="2" t="s">
        <v>224</v>
      </c>
      <c r="D54" s="2" t="s">
        <v>330</v>
      </c>
      <c r="E54" s="2" t="s">
        <v>245</v>
      </c>
      <c r="F54" s="33" t="n">
        <v>45158</v>
      </c>
      <c r="G54" s="33" t="n">
        <v>45157</v>
      </c>
      <c r="H54" s="2" t="n">
        <v>3852</v>
      </c>
      <c r="I54" s="2" t="s">
        <v>228</v>
      </c>
      <c r="J54" s="2" t="s">
        <v>229</v>
      </c>
    </row>
    <row r="55" customFormat="false" ht="15" hidden="false" customHeight="false" outlineLevel="0" collapsed="false">
      <c r="A55" s="2" t="s">
        <v>343</v>
      </c>
      <c r="B55" s="2" t="n">
        <v>76</v>
      </c>
      <c r="C55" s="2" t="s">
        <v>233</v>
      </c>
      <c r="D55" s="2" t="s">
        <v>330</v>
      </c>
      <c r="E55" s="2" t="s">
        <v>245</v>
      </c>
      <c r="F55" s="33" t="n">
        <v>45139</v>
      </c>
      <c r="G55" s="33" t="n">
        <v>45142</v>
      </c>
      <c r="H55" s="2" t="n">
        <v>999</v>
      </c>
      <c r="I55" s="2" t="s">
        <v>228</v>
      </c>
      <c r="J55" s="2" t="s">
        <v>229</v>
      </c>
    </row>
    <row r="56" customFormat="false" ht="15" hidden="false" customHeight="false" outlineLevel="0" collapsed="false">
      <c r="A56" s="2" t="s">
        <v>345</v>
      </c>
      <c r="B56" s="2" t="n">
        <v>81</v>
      </c>
      <c r="C56" s="2" t="s">
        <v>233</v>
      </c>
      <c r="D56" s="2" t="s">
        <v>330</v>
      </c>
      <c r="E56" s="2" t="s">
        <v>260</v>
      </c>
      <c r="F56" s="33" t="n">
        <v>45011</v>
      </c>
      <c r="G56" s="33" t="n">
        <v>45025</v>
      </c>
      <c r="H56" s="2" t="n">
        <v>999</v>
      </c>
      <c r="I56" s="2" t="s">
        <v>228</v>
      </c>
      <c r="J56" s="2" t="s">
        <v>256</v>
      </c>
    </row>
    <row r="57" customFormat="false" ht="15" hidden="false" customHeight="false" outlineLevel="0" collapsed="false">
      <c r="A57" s="2" t="s">
        <v>327</v>
      </c>
      <c r="B57" s="2" t="n">
        <v>20</v>
      </c>
      <c r="C57" s="2" t="s">
        <v>224</v>
      </c>
      <c r="D57" s="2" t="s">
        <v>330</v>
      </c>
      <c r="E57" s="2" t="s">
        <v>240</v>
      </c>
      <c r="F57" s="33" t="n">
        <v>45069</v>
      </c>
      <c r="G57" s="33" t="n">
        <v>45074</v>
      </c>
      <c r="H57" s="2" t="n">
        <v>3852</v>
      </c>
      <c r="I57" s="2" t="s">
        <v>250</v>
      </c>
      <c r="J57" s="2" t="s">
        <v>256</v>
      </c>
    </row>
    <row r="58" customFormat="false" ht="15" hidden="false" customHeight="false" outlineLevel="0" collapsed="false">
      <c r="A58" s="2" t="s">
        <v>254</v>
      </c>
      <c r="B58" s="2" t="n">
        <v>88</v>
      </c>
      <c r="C58" s="2" t="s">
        <v>233</v>
      </c>
      <c r="D58" s="2" t="s">
        <v>330</v>
      </c>
      <c r="E58" s="2" t="s">
        <v>255</v>
      </c>
      <c r="F58" s="33" t="n">
        <v>45127</v>
      </c>
      <c r="G58" s="33" t="n">
        <v>45142</v>
      </c>
      <c r="H58" s="2" t="n">
        <v>999</v>
      </c>
      <c r="I58" s="2" t="s">
        <v>235</v>
      </c>
      <c r="J58" s="2" t="s">
        <v>236</v>
      </c>
    </row>
    <row r="59" customFormat="false" ht="15" hidden="false" customHeight="false" outlineLevel="0" collapsed="false">
      <c r="A59" s="2" t="s">
        <v>285</v>
      </c>
      <c r="B59" s="2" t="n">
        <v>7</v>
      </c>
      <c r="C59" s="2" t="s">
        <v>224</v>
      </c>
      <c r="D59" s="2" t="s">
        <v>330</v>
      </c>
      <c r="E59" s="2" t="s">
        <v>260</v>
      </c>
      <c r="F59" s="33" t="n">
        <v>45135</v>
      </c>
      <c r="G59" s="33" t="n">
        <v>45133</v>
      </c>
      <c r="H59" s="2" t="n">
        <v>3852</v>
      </c>
      <c r="I59" s="2" t="s">
        <v>228</v>
      </c>
      <c r="J59" s="2" t="s">
        <v>236</v>
      </c>
    </row>
    <row r="60" customFormat="false" ht="15" hidden="false" customHeight="false" outlineLevel="0" collapsed="false">
      <c r="A60" s="2" t="s">
        <v>350</v>
      </c>
      <c r="B60" s="2" t="n">
        <v>7</v>
      </c>
      <c r="C60" s="2" t="s">
        <v>224</v>
      </c>
      <c r="D60" s="2" t="s">
        <v>330</v>
      </c>
      <c r="E60" s="2" t="s">
        <v>240</v>
      </c>
      <c r="F60" s="33" t="n">
        <v>44987</v>
      </c>
      <c r="G60" s="33" t="n">
        <v>44990</v>
      </c>
      <c r="H60" s="2" t="n">
        <v>4772</v>
      </c>
      <c r="I60" s="2" t="s">
        <v>235</v>
      </c>
      <c r="J60" s="2" t="s">
        <v>229</v>
      </c>
    </row>
    <row r="61" customFormat="false" ht="15" hidden="false" customHeight="false" outlineLevel="0" collapsed="false">
      <c r="A61" s="2" t="s">
        <v>352</v>
      </c>
      <c r="B61" s="2" t="n">
        <v>37</v>
      </c>
      <c r="C61" s="2" t="s">
        <v>224</v>
      </c>
      <c r="D61" s="2" t="s">
        <v>330</v>
      </c>
      <c r="E61" s="2" t="s">
        <v>255</v>
      </c>
      <c r="F61" s="33" t="n">
        <v>45091</v>
      </c>
      <c r="G61" s="33" t="n">
        <v>45096</v>
      </c>
      <c r="H61" s="2" t="n">
        <v>999</v>
      </c>
      <c r="I61" s="2" t="s">
        <v>228</v>
      </c>
      <c r="J61" s="2" t="s">
        <v>229</v>
      </c>
    </row>
    <row r="62" customFormat="false" ht="15" hidden="false" customHeight="false" outlineLevel="0" collapsed="false">
      <c r="A62" s="2" t="s">
        <v>354</v>
      </c>
      <c r="B62" s="2" t="n">
        <v>34</v>
      </c>
      <c r="C62" s="2" t="s">
        <v>224</v>
      </c>
      <c r="D62" s="2" t="s">
        <v>355</v>
      </c>
      <c r="E62" s="2" t="s">
        <v>240</v>
      </c>
      <c r="F62" s="33" t="n">
        <v>45094</v>
      </c>
      <c r="G62" s="33" t="n">
        <v>45095</v>
      </c>
      <c r="H62" s="2" t="n">
        <v>503</v>
      </c>
      <c r="I62" s="2" t="s">
        <v>235</v>
      </c>
      <c r="J62" s="2" t="s">
        <v>256</v>
      </c>
    </row>
    <row r="63" customFormat="false" ht="15" hidden="false" customHeight="false" outlineLevel="0" collapsed="false">
      <c r="A63" s="2" t="s">
        <v>350</v>
      </c>
      <c r="B63" s="2" t="n">
        <v>32</v>
      </c>
      <c r="C63" s="2" t="s">
        <v>233</v>
      </c>
      <c r="D63" s="2" t="s">
        <v>355</v>
      </c>
      <c r="E63" s="2" t="s">
        <v>255</v>
      </c>
      <c r="F63" s="33" t="n">
        <v>45038</v>
      </c>
      <c r="G63" s="33" t="n">
        <v>45041</v>
      </c>
      <c r="H63" s="2" t="n">
        <v>3852</v>
      </c>
      <c r="I63" s="2" t="s">
        <v>250</v>
      </c>
      <c r="J63" s="2" t="s">
        <v>229</v>
      </c>
    </row>
    <row r="64" customFormat="false" ht="15" hidden="false" customHeight="false" outlineLevel="0" collapsed="false">
      <c r="A64" s="2" t="s">
        <v>358</v>
      </c>
      <c r="B64" s="2" t="n">
        <v>48</v>
      </c>
      <c r="C64" s="2" t="s">
        <v>233</v>
      </c>
      <c r="D64" s="2" t="s">
        <v>355</v>
      </c>
      <c r="E64" s="2" t="s">
        <v>255</v>
      </c>
      <c r="F64" s="33" t="n">
        <v>45083</v>
      </c>
      <c r="G64" s="33" t="n">
        <v>45084</v>
      </c>
      <c r="H64" s="2" t="n">
        <v>593</v>
      </c>
      <c r="I64" s="2" t="s">
        <v>235</v>
      </c>
      <c r="J64" s="2" t="s">
        <v>229</v>
      </c>
    </row>
    <row r="65" customFormat="false" ht="15" hidden="false" customHeight="false" outlineLevel="0" collapsed="false">
      <c r="A65" s="2" t="s">
        <v>360</v>
      </c>
      <c r="B65" s="2" t="n">
        <v>76</v>
      </c>
      <c r="C65" s="2" t="s">
        <v>224</v>
      </c>
      <c r="D65" s="2" t="s">
        <v>355</v>
      </c>
      <c r="E65" s="2" t="s">
        <v>226</v>
      </c>
      <c r="F65" s="33" t="n">
        <v>44972</v>
      </c>
      <c r="G65" s="33" t="n">
        <v>44984</v>
      </c>
      <c r="H65" s="2" t="n">
        <v>6763</v>
      </c>
      <c r="I65" s="2" t="s">
        <v>250</v>
      </c>
      <c r="J65" s="2" t="s">
        <v>236</v>
      </c>
    </row>
    <row r="66" customFormat="false" ht="15" hidden="false" customHeight="false" outlineLevel="0" collapsed="false">
      <c r="A66" s="2" t="s">
        <v>362</v>
      </c>
      <c r="B66" s="2" t="n">
        <v>2</v>
      </c>
      <c r="C66" s="2" t="s">
        <v>233</v>
      </c>
      <c r="D66" s="2" t="s">
        <v>355</v>
      </c>
      <c r="E66" s="2" t="s">
        <v>263</v>
      </c>
      <c r="F66" s="33" t="n">
        <v>45141</v>
      </c>
      <c r="G66" s="33" t="n">
        <v>45146</v>
      </c>
      <c r="H66" s="2" t="n">
        <v>3630</v>
      </c>
      <c r="I66" s="2" t="s">
        <v>228</v>
      </c>
      <c r="J66" s="2" t="s">
        <v>256</v>
      </c>
    </row>
    <row r="67" customFormat="false" ht="15" hidden="false" customHeight="false" outlineLevel="0" collapsed="false">
      <c r="A67" s="2" t="s">
        <v>336</v>
      </c>
      <c r="B67" s="2" t="n">
        <v>65</v>
      </c>
      <c r="C67" s="2" t="s">
        <v>224</v>
      </c>
      <c r="D67" s="2" t="s">
        <v>355</v>
      </c>
      <c r="E67" s="2" t="s">
        <v>260</v>
      </c>
      <c r="F67" s="33" t="n">
        <v>44997</v>
      </c>
      <c r="G67" s="33" t="n">
        <v>44999</v>
      </c>
      <c r="H67" s="2" t="n">
        <v>999</v>
      </c>
      <c r="I67" s="2" t="s">
        <v>235</v>
      </c>
      <c r="J67" s="2" t="s">
        <v>229</v>
      </c>
    </row>
    <row r="68" customFormat="false" ht="15" hidden="false" customHeight="false" outlineLevel="0" collapsed="false">
      <c r="A68" s="2" t="s">
        <v>365</v>
      </c>
      <c r="B68" s="2" t="n">
        <v>85</v>
      </c>
      <c r="C68" s="2" t="s">
        <v>224</v>
      </c>
      <c r="D68" s="2" t="s">
        <v>355</v>
      </c>
      <c r="E68" s="2" t="s">
        <v>245</v>
      </c>
      <c r="F68" s="33" t="n">
        <v>45063</v>
      </c>
      <c r="G68" s="33" t="n">
        <v>45068</v>
      </c>
      <c r="H68" s="2" t="n">
        <v>5127</v>
      </c>
      <c r="I68" s="2" t="s">
        <v>228</v>
      </c>
      <c r="J68" s="2" t="s">
        <v>236</v>
      </c>
    </row>
    <row r="69" customFormat="false" ht="15" hidden="false" customHeight="false" outlineLevel="0" collapsed="false">
      <c r="A69" s="2" t="s">
        <v>350</v>
      </c>
      <c r="B69" s="2" t="n">
        <v>63</v>
      </c>
      <c r="C69" s="2" t="s">
        <v>233</v>
      </c>
      <c r="D69" s="2" t="s">
        <v>355</v>
      </c>
      <c r="E69" s="2" t="s">
        <v>260</v>
      </c>
      <c r="F69" s="33" t="n">
        <v>45288</v>
      </c>
      <c r="G69" s="33" t="n">
        <v>45289</v>
      </c>
      <c r="H69" s="2" t="n">
        <v>999</v>
      </c>
      <c r="I69" s="2" t="s">
        <v>250</v>
      </c>
      <c r="J69" s="2" t="s">
        <v>229</v>
      </c>
    </row>
    <row r="70" customFormat="false" ht="15" hidden="false" customHeight="false" outlineLevel="0" collapsed="false">
      <c r="A70" s="2" t="s">
        <v>368</v>
      </c>
      <c r="B70" s="2" t="n">
        <v>55</v>
      </c>
      <c r="C70" s="2" t="s">
        <v>233</v>
      </c>
      <c r="D70" s="2" t="s">
        <v>355</v>
      </c>
      <c r="E70" s="2" t="s">
        <v>260</v>
      </c>
      <c r="F70" s="33" t="n">
        <v>45105</v>
      </c>
      <c r="G70" s="33" t="n">
        <v>45119</v>
      </c>
      <c r="H70" s="2" t="n">
        <v>999</v>
      </c>
      <c r="I70" s="2" t="s">
        <v>250</v>
      </c>
      <c r="J70" s="2" t="s">
        <v>229</v>
      </c>
    </row>
    <row r="71" customFormat="false" ht="15" hidden="false" customHeight="false" outlineLevel="0" collapsed="false">
      <c r="A71" s="2" t="s">
        <v>296</v>
      </c>
      <c r="B71" s="2" t="n">
        <v>72</v>
      </c>
      <c r="C71" s="2" t="s">
        <v>233</v>
      </c>
      <c r="D71" s="2" t="s">
        <v>355</v>
      </c>
      <c r="E71" s="2" t="s">
        <v>249</v>
      </c>
      <c r="F71" s="33" t="n">
        <v>45267</v>
      </c>
      <c r="G71" s="33" t="n">
        <v>45270</v>
      </c>
      <c r="H71" s="2" t="n">
        <v>999</v>
      </c>
      <c r="I71" s="2" t="s">
        <v>235</v>
      </c>
      <c r="J71" s="2" t="s">
        <v>256</v>
      </c>
    </row>
    <row r="72" customFormat="false" ht="15" hidden="false" customHeight="false" outlineLevel="0" collapsed="false">
      <c r="A72" s="2" t="s">
        <v>338</v>
      </c>
      <c r="B72" s="2" t="n">
        <v>52</v>
      </c>
      <c r="C72" s="2" t="s">
        <v>233</v>
      </c>
      <c r="D72" s="2" t="s">
        <v>355</v>
      </c>
      <c r="E72" s="2" t="s">
        <v>249</v>
      </c>
      <c r="F72" s="33" t="n">
        <v>45286</v>
      </c>
      <c r="G72" s="33" t="n">
        <v>45291</v>
      </c>
      <c r="H72" s="2" t="n">
        <v>3842</v>
      </c>
      <c r="I72" s="2" t="s">
        <v>235</v>
      </c>
      <c r="J72" s="2" t="s">
        <v>256</v>
      </c>
    </row>
    <row r="73" customFormat="false" ht="15" hidden="false" customHeight="false" outlineLevel="0" collapsed="false">
      <c r="A73" s="2" t="s">
        <v>372</v>
      </c>
      <c r="B73" s="2" t="n">
        <v>45</v>
      </c>
      <c r="C73" s="2" t="s">
        <v>224</v>
      </c>
      <c r="D73" s="2" t="s">
        <v>355</v>
      </c>
      <c r="E73" s="2" t="s">
        <v>240</v>
      </c>
      <c r="F73" s="33" t="n">
        <v>45120</v>
      </c>
      <c r="G73" s="33" t="n">
        <v>45123</v>
      </c>
      <c r="H73" s="2" t="n">
        <v>3852</v>
      </c>
      <c r="I73" s="2" t="s">
        <v>250</v>
      </c>
      <c r="J73" s="2" t="s">
        <v>256</v>
      </c>
    </row>
    <row r="74" customFormat="false" ht="15" hidden="false" customHeight="false" outlineLevel="0" collapsed="false">
      <c r="A74" s="2" t="s">
        <v>262</v>
      </c>
      <c r="B74" s="2" t="n">
        <v>57</v>
      </c>
      <c r="C74" s="2" t="s">
        <v>233</v>
      </c>
      <c r="D74" s="2" t="s">
        <v>355</v>
      </c>
      <c r="E74" s="2" t="s">
        <v>226</v>
      </c>
      <c r="F74" s="33" t="n">
        <v>45203</v>
      </c>
      <c r="G74" s="33" t="n">
        <v>45209</v>
      </c>
      <c r="H74" s="2" t="n">
        <v>3852</v>
      </c>
      <c r="I74" s="2" t="s">
        <v>250</v>
      </c>
      <c r="J74" s="2" t="s">
        <v>256</v>
      </c>
    </row>
    <row r="75" customFormat="false" ht="15" hidden="false" customHeight="false" outlineLevel="0" collapsed="false">
      <c r="A75" s="2" t="s">
        <v>315</v>
      </c>
      <c r="B75" s="2" t="n">
        <v>60</v>
      </c>
      <c r="C75" s="2" t="s">
        <v>224</v>
      </c>
      <c r="D75" s="2" t="s">
        <v>355</v>
      </c>
      <c r="E75" s="2" t="s">
        <v>240</v>
      </c>
      <c r="F75" s="33" t="n">
        <v>45273</v>
      </c>
      <c r="G75" s="33" t="n">
        <v>45280</v>
      </c>
      <c r="H75" s="2" t="n">
        <v>3852</v>
      </c>
      <c r="I75" s="2" t="s">
        <v>228</v>
      </c>
      <c r="J75" s="2" t="s">
        <v>256</v>
      </c>
    </row>
    <row r="76" customFormat="false" ht="15" hidden="false" customHeight="false" outlineLevel="0" collapsed="false">
      <c r="A76" s="2" t="s">
        <v>362</v>
      </c>
      <c r="B76" s="2" t="n">
        <v>72</v>
      </c>
      <c r="C76" s="2" t="s">
        <v>233</v>
      </c>
      <c r="D76" s="2" t="s">
        <v>355</v>
      </c>
      <c r="E76" s="2" t="s">
        <v>245</v>
      </c>
      <c r="F76" s="33" t="n">
        <v>45208</v>
      </c>
      <c r="G76" s="33" t="n">
        <v>45213</v>
      </c>
      <c r="H76" s="2" t="n">
        <v>3852</v>
      </c>
      <c r="I76" s="2" t="s">
        <v>250</v>
      </c>
      <c r="J76" s="2" t="s">
        <v>256</v>
      </c>
    </row>
    <row r="77" customFormat="false" ht="15" hidden="false" customHeight="false" outlineLevel="0" collapsed="false">
      <c r="A77" s="2" t="s">
        <v>377</v>
      </c>
      <c r="B77" s="2" t="n">
        <v>25</v>
      </c>
      <c r="C77" s="2" t="s">
        <v>224</v>
      </c>
      <c r="D77" s="2" t="s">
        <v>355</v>
      </c>
      <c r="E77" s="2" t="s">
        <v>240</v>
      </c>
      <c r="F77" s="33" t="n">
        <v>45234</v>
      </c>
      <c r="G77" s="33" t="n">
        <v>45237</v>
      </c>
      <c r="H77" s="2" t="n">
        <v>3852</v>
      </c>
      <c r="I77" s="2" t="s">
        <v>235</v>
      </c>
      <c r="J77" s="2" t="s">
        <v>236</v>
      </c>
    </row>
    <row r="78" customFormat="false" ht="15" hidden="false" customHeight="false" outlineLevel="0" collapsed="false">
      <c r="A78" s="2" t="s">
        <v>379</v>
      </c>
      <c r="B78" s="2" t="n">
        <v>8</v>
      </c>
      <c r="C78" s="2" t="s">
        <v>233</v>
      </c>
      <c r="D78" s="2" t="s">
        <v>355</v>
      </c>
      <c r="E78" s="2" t="s">
        <v>240</v>
      </c>
      <c r="F78" s="33" t="n">
        <v>45216</v>
      </c>
      <c r="G78" s="33" t="n">
        <v>45230</v>
      </c>
      <c r="H78" s="2" t="n">
        <v>3852</v>
      </c>
      <c r="I78" s="2" t="s">
        <v>250</v>
      </c>
      <c r="J78" s="2" t="s">
        <v>236</v>
      </c>
    </row>
    <row r="79" customFormat="false" ht="15" hidden="false" customHeight="false" outlineLevel="0" collapsed="false">
      <c r="A79" s="2" t="s">
        <v>270</v>
      </c>
      <c r="B79" s="2" t="n">
        <v>32</v>
      </c>
      <c r="C79" s="2" t="s">
        <v>233</v>
      </c>
      <c r="D79" s="2" t="s">
        <v>355</v>
      </c>
      <c r="E79" s="2" t="s">
        <v>263</v>
      </c>
      <c r="F79" s="33" t="n">
        <v>45056</v>
      </c>
      <c r="G79" s="33" t="n">
        <v>45060</v>
      </c>
      <c r="H79" s="2" t="n">
        <v>3852</v>
      </c>
      <c r="I79" s="2" t="s">
        <v>228</v>
      </c>
      <c r="J79" s="2" t="s">
        <v>236</v>
      </c>
    </row>
    <row r="80" customFormat="false" ht="15" hidden="false" customHeight="false" outlineLevel="0" collapsed="false">
      <c r="A80" s="2" t="s">
        <v>382</v>
      </c>
      <c r="B80" s="2" t="n">
        <v>31</v>
      </c>
      <c r="C80" s="2" t="s">
        <v>224</v>
      </c>
      <c r="D80" s="2" t="s">
        <v>355</v>
      </c>
      <c r="E80" s="2" t="s">
        <v>245</v>
      </c>
      <c r="F80" s="33" t="n">
        <v>45013</v>
      </c>
      <c r="G80" s="33" t="n">
        <v>45015</v>
      </c>
      <c r="H80" s="2" t="n">
        <v>999</v>
      </c>
      <c r="I80" s="2" t="s">
        <v>228</v>
      </c>
      <c r="J80" s="2" t="s">
        <v>256</v>
      </c>
    </row>
    <row r="81" customFormat="false" ht="15" hidden="false" customHeight="false" outlineLevel="0" collapsed="false">
      <c r="A81" s="2" t="s">
        <v>384</v>
      </c>
      <c r="B81" s="2" t="n">
        <v>17</v>
      </c>
      <c r="C81" s="2" t="s">
        <v>233</v>
      </c>
      <c r="D81" s="2" t="s">
        <v>355</v>
      </c>
      <c r="E81" s="2" t="s">
        <v>245</v>
      </c>
      <c r="F81" s="33" t="n">
        <v>44968</v>
      </c>
      <c r="G81" s="33" t="n">
        <v>44984</v>
      </c>
      <c r="H81" s="2" t="n">
        <v>3852</v>
      </c>
      <c r="I81" s="2" t="s">
        <v>250</v>
      </c>
      <c r="J81" s="2" t="s">
        <v>256</v>
      </c>
    </row>
    <row r="82" customFormat="false" ht="15" hidden="false" customHeight="false" outlineLevel="0" collapsed="false">
      <c r="A82" s="2" t="s">
        <v>365</v>
      </c>
      <c r="B82" s="2" t="n">
        <v>42</v>
      </c>
      <c r="C82" s="2" t="s">
        <v>233</v>
      </c>
      <c r="D82" s="2" t="s">
        <v>355</v>
      </c>
      <c r="E82" s="2" t="s">
        <v>255</v>
      </c>
      <c r="F82" s="33" t="n">
        <v>44976</v>
      </c>
      <c r="G82" s="33" t="n">
        <v>44977</v>
      </c>
      <c r="H82" s="2" t="n">
        <v>592</v>
      </c>
      <c r="I82" s="2" t="s">
        <v>250</v>
      </c>
      <c r="J82" s="2" t="s">
        <v>236</v>
      </c>
    </row>
    <row r="83" customFormat="false" ht="15" hidden="false" customHeight="false" outlineLevel="0" collapsed="false">
      <c r="A83" s="2" t="s">
        <v>365</v>
      </c>
      <c r="B83" s="2" t="n">
        <v>7</v>
      </c>
      <c r="C83" s="2" t="s">
        <v>224</v>
      </c>
      <c r="D83" s="2" t="s">
        <v>355</v>
      </c>
      <c r="E83" s="2" t="s">
        <v>245</v>
      </c>
      <c r="F83" s="33" t="n">
        <v>45254</v>
      </c>
      <c r="G83" s="33" t="n">
        <v>45256</v>
      </c>
      <c r="H83" s="2" t="n">
        <v>999</v>
      </c>
      <c r="I83" s="2" t="s">
        <v>228</v>
      </c>
      <c r="J83" s="2" t="s">
        <v>236</v>
      </c>
    </row>
    <row r="84" customFormat="false" ht="15" hidden="false" customHeight="false" outlineLevel="0" collapsed="false">
      <c r="A84" s="2" t="s">
        <v>244</v>
      </c>
      <c r="B84" s="2" t="n">
        <v>88</v>
      </c>
      <c r="C84" s="2" t="s">
        <v>233</v>
      </c>
      <c r="D84" s="2" t="s">
        <v>355</v>
      </c>
      <c r="E84" s="2" t="s">
        <v>260</v>
      </c>
      <c r="F84" s="33" t="n">
        <v>44959</v>
      </c>
      <c r="G84" s="33" t="n">
        <v>44964</v>
      </c>
      <c r="H84" s="2" t="n">
        <v>3857</v>
      </c>
      <c r="I84" s="2" t="s">
        <v>250</v>
      </c>
      <c r="J84" s="2" t="s">
        <v>256</v>
      </c>
    </row>
    <row r="85" customFormat="false" ht="15" hidden="false" customHeight="false" outlineLevel="0" collapsed="false">
      <c r="A85" s="2" t="s">
        <v>315</v>
      </c>
      <c r="B85" s="2" t="n">
        <v>29</v>
      </c>
      <c r="C85" s="2" t="s">
        <v>233</v>
      </c>
      <c r="D85" s="2" t="s">
        <v>355</v>
      </c>
      <c r="E85" s="2" t="s">
        <v>260</v>
      </c>
      <c r="F85" s="33" t="n">
        <v>45041</v>
      </c>
      <c r="G85" s="33" t="n">
        <v>45059</v>
      </c>
      <c r="H85" s="2" t="n">
        <v>3852</v>
      </c>
      <c r="I85" s="2" t="s">
        <v>228</v>
      </c>
      <c r="J85" s="2" t="s">
        <v>236</v>
      </c>
    </row>
    <row r="86" customFormat="false" ht="15" hidden="false" customHeight="false" outlineLevel="0" collapsed="false">
      <c r="A86" s="2" t="s">
        <v>390</v>
      </c>
      <c r="B86" s="2" t="n">
        <v>10</v>
      </c>
      <c r="C86" s="2" t="s">
        <v>233</v>
      </c>
      <c r="D86" s="2" t="s">
        <v>355</v>
      </c>
      <c r="E86" s="2" t="s">
        <v>255</v>
      </c>
      <c r="F86" s="33" t="n">
        <v>45205</v>
      </c>
      <c r="G86" s="33" t="n">
        <v>45201</v>
      </c>
      <c r="H86" s="2" t="n">
        <v>1427</v>
      </c>
      <c r="I86" s="2" t="s">
        <v>228</v>
      </c>
      <c r="J86" s="2" t="s">
        <v>229</v>
      </c>
    </row>
    <row r="87" customFormat="false" ht="15" hidden="false" customHeight="false" outlineLevel="0" collapsed="false">
      <c r="A87" s="2" t="s">
        <v>266</v>
      </c>
      <c r="B87" s="2" t="n">
        <v>24</v>
      </c>
      <c r="C87" s="2" t="s">
        <v>233</v>
      </c>
      <c r="D87" s="2" t="s">
        <v>355</v>
      </c>
      <c r="E87" s="2" t="s">
        <v>260</v>
      </c>
      <c r="F87" s="33" t="n">
        <v>44974</v>
      </c>
      <c r="G87" s="33" t="n">
        <v>44976</v>
      </c>
      <c r="H87" s="2" t="n">
        <v>1570</v>
      </c>
      <c r="I87" s="2" t="s">
        <v>235</v>
      </c>
      <c r="J87" s="2" t="s">
        <v>229</v>
      </c>
    </row>
    <row r="88" customFormat="false" ht="15" hidden="false" customHeight="false" outlineLevel="0" collapsed="false">
      <c r="A88" s="2" t="s">
        <v>238</v>
      </c>
      <c r="B88" s="2" t="n">
        <v>33</v>
      </c>
      <c r="C88" s="2" t="s">
        <v>233</v>
      </c>
      <c r="D88" s="2" t="s">
        <v>355</v>
      </c>
      <c r="E88" s="2" t="s">
        <v>226</v>
      </c>
      <c r="F88" s="33" t="n">
        <v>44985</v>
      </c>
      <c r="G88" s="33" t="n">
        <v>44989</v>
      </c>
      <c r="H88" s="2" t="n">
        <v>999</v>
      </c>
      <c r="I88" s="2" t="s">
        <v>250</v>
      </c>
      <c r="J88" s="2" t="s">
        <v>229</v>
      </c>
    </row>
    <row r="89" customFormat="false" ht="15" hidden="false" customHeight="false" outlineLevel="0" collapsed="false">
      <c r="A89" s="2" t="s">
        <v>310</v>
      </c>
      <c r="B89" s="2" t="n">
        <v>46</v>
      </c>
      <c r="C89" s="2" t="s">
        <v>224</v>
      </c>
      <c r="D89" s="2" t="s">
        <v>225</v>
      </c>
      <c r="E89" s="2" t="s">
        <v>260</v>
      </c>
      <c r="F89" s="33" t="n">
        <v>45057</v>
      </c>
      <c r="G89" s="33" t="n">
        <v>45068</v>
      </c>
      <c r="H89" s="2" t="n">
        <v>3852</v>
      </c>
      <c r="I89" s="2" t="s">
        <v>235</v>
      </c>
      <c r="J89" s="2" t="s">
        <v>236</v>
      </c>
    </row>
    <row r="90" customFormat="false" ht="15" hidden="false" customHeight="false" outlineLevel="0" collapsed="false">
      <c r="A90" s="2" t="s">
        <v>317</v>
      </c>
      <c r="B90" s="2" t="n">
        <v>12</v>
      </c>
      <c r="C90" s="2" t="s">
        <v>224</v>
      </c>
      <c r="D90" s="2" t="s">
        <v>225</v>
      </c>
      <c r="E90" s="2" t="s">
        <v>245</v>
      </c>
      <c r="F90" s="33" t="n">
        <v>45219</v>
      </c>
      <c r="G90" s="33" t="n">
        <v>45218</v>
      </c>
      <c r="H90" s="2" t="n">
        <v>3852</v>
      </c>
      <c r="I90" s="2" t="s">
        <v>235</v>
      </c>
      <c r="J90" s="2" t="s">
        <v>256</v>
      </c>
    </row>
    <row r="91" customFormat="false" ht="15" hidden="false" customHeight="false" outlineLevel="0" collapsed="false">
      <c r="A91" s="2" t="s">
        <v>384</v>
      </c>
      <c r="B91" s="2" t="n">
        <v>44</v>
      </c>
      <c r="C91" s="2" t="s">
        <v>224</v>
      </c>
      <c r="D91" s="2" t="s">
        <v>275</v>
      </c>
      <c r="E91" s="2" t="s">
        <v>263</v>
      </c>
      <c r="F91" s="33" t="n">
        <v>45248</v>
      </c>
      <c r="G91" s="33" t="n">
        <v>45252</v>
      </c>
      <c r="H91" s="2" t="n">
        <v>3852</v>
      </c>
      <c r="I91" s="2" t="s">
        <v>235</v>
      </c>
      <c r="J91" s="2" t="s">
        <v>236</v>
      </c>
    </row>
    <row r="92" customFormat="false" ht="15" hidden="false" customHeight="false" outlineLevel="0" collapsed="false">
      <c r="A92" s="2" t="s">
        <v>343</v>
      </c>
      <c r="B92" s="2" t="n">
        <v>71</v>
      </c>
      <c r="C92" s="2" t="s">
        <v>233</v>
      </c>
      <c r="D92" s="2" t="s">
        <v>275</v>
      </c>
      <c r="E92" s="2" t="s">
        <v>263</v>
      </c>
      <c r="F92" s="33" t="n">
        <v>45111</v>
      </c>
      <c r="G92" s="33" t="n">
        <v>45115</v>
      </c>
      <c r="H92" s="2" t="n">
        <v>3852</v>
      </c>
      <c r="I92" s="2" t="s">
        <v>235</v>
      </c>
      <c r="J92" s="2" t="s">
        <v>229</v>
      </c>
    </row>
    <row r="93" customFormat="false" ht="15" hidden="false" customHeight="false" outlineLevel="0" collapsed="false">
      <c r="A93" s="2" t="s">
        <v>398</v>
      </c>
      <c r="B93" s="2" t="n">
        <v>84</v>
      </c>
      <c r="C93" s="2" t="s">
        <v>233</v>
      </c>
      <c r="D93" s="2" t="s">
        <v>275</v>
      </c>
      <c r="E93" s="2" t="s">
        <v>260</v>
      </c>
      <c r="F93" s="33" t="n">
        <v>45146</v>
      </c>
      <c r="G93" s="33" t="n">
        <v>45161</v>
      </c>
      <c r="H93" s="2" t="n">
        <v>999</v>
      </c>
      <c r="I93" s="2" t="s">
        <v>228</v>
      </c>
      <c r="J93" s="2" t="s">
        <v>236</v>
      </c>
    </row>
    <row r="94" customFormat="false" ht="15" hidden="false" customHeight="false" outlineLevel="0" collapsed="false">
      <c r="A94" s="2" t="s">
        <v>270</v>
      </c>
      <c r="B94" s="2" t="n">
        <v>37</v>
      </c>
      <c r="C94" s="2" t="s">
        <v>224</v>
      </c>
      <c r="D94" s="2" t="s">
        <v>275</v>
      </c>
      <c r="E94" s="2" t="s">
        <v>226</v>
      </c>
      <c r="F94" s="33" t="n">
        <v>45275</v>
      </c>
      <c r="G94" s="33" t="n">
        <v>45289</v>
      </c>
      <c r="H94" s="2" t="n">
        <v>3852</v>
      </c>
      <c r="I94" s="2" t="s">
        <v>250</v>
      </c>
      <c r="J94" s="2" t="s">
        <v>229</v>
      </c>
    </row>
    <row r="95" customFormat="false" ht="15" hidden="false" customHeight="false" outlineLevel="0" collapsed="false">
      <c r="A95" s="2" t="s">
        <v>291</v>
      </c>
      <c r="B95" s="2" t="n">
        <v>40</v>
      </c>
      <c r="C95" s="2" t="s">
        <v>224</v>
      </c>
      <c r="D95" s="2" t="s">
        <v>275</v>
      </c>
      <c r="E95" s="2" t="s">
        <v>226</v>
      </c>
      <c r="F95" s="33" t="n">
        <v>45007</v>
      </c>
      <c r="G95" s="33" t="n">
        <v>45005</v>
      </c>
      <c r="H95" s="2" t="n">
        <v>999</v>
      </c>
      <c r="I95" s="2" t="s">
        <v>228</v>
      </c>
      <c r="J95" s="2" t="s">
        <v>229</v>
      </c>
    </row>
    <row r="96" customFormat="false" ht="15" hidden="false" customHeight="false" outlineLevel="0" collapsed="false">
      <c r="A96" s="2" t="s">
        <v>262</v>
      </c>
      <c r="B96" s="2" t="n">
        <v>56</v>
      </c>
      <c r="C96" s="2" t="s">
        <v>233</v>
      </c>
      <c r="D96" s="2" t="s">
        <v>275</v>
      </c>
      <c r="E96" s="2" t="s">
        <v>245</v>
      </c>
      <c r="F96" s="33" t="n">
        <v>45019</v>
      </c>
      <c r="G96" s="33" t="n">
        <v>45033</v>
      </c>
      <c r="H96" s="2" t="n">
        <v>999</v>
      </c>
      <c r="I96" s="2" t="s">
        <v>250</v>
      </c>
      <c r="J96" s="2" t="s">
        <v>229</v>
      </c>
    </row>
    <row r="97" customFormat="false" ht="15" hidden="false" customHeight="false" outlineLevel="0" collapsed="false">
      <c r="A97" s="2" t="s">
        <v>321</v>
      </c>
      <c r="B97" s="2" t="n">
        <v>81</v>
      </c>
      <c r="C97" s="2" t="s">
        <v>233</v>
      </c>
      <c r="D97" s="2" t="s">
        <v>403</v>
      </c>
      <c r="E97" s="2" t="s">
        <v>249</v>
      </c>
      <c r="F97" s="33" t="n">
        <v>45073</v>
      </c>
      <c r="G97" s="33" t="n">
        <v>45077</v>
      </c>
      <c r="H97" s="2" t="n">
        <v>5422</v>
      </c>
      <c r="I97" s="2" t="s">
        <v>235</v>
      </c>
      <c r="J97" s="2" t="s">
        <v>236</v>
      </c>
    </row>
    <row r="98" customFormat="false" ht="15" hidden="false" customHeight="false" outlineLevel="0" collapsed="false">
      <c r="A98" s="2" t="s">
        <v>319</v>
      </c>
      <c r="B98" s="2" t="n">
        <v>23</v>
      </c>
      <c r="C98" s="2" t="s">
        <v>233</v>
      </c>
      <c r="D98" s="2" t="s">
        <v>403</v>
      </c>
      <c r="E98" s="2" t="s">
        <v>263</v>
      </c>
      <c r="F98" s="33" t="n">
        <v>45063</v>
      </c>
      <c r="G98" s="33" t="n">
        <v>45061</v>
      </c>
      <c r="H98" s="2" t="n">
        <v>999</v>
      </c>
      <c r="I98" s="2" t="s">
        <v>235</v>
      </c>
      <c r="J98" s="2" t="s">
        <v>256</v>
      </c>
    </row>
    <row r="99" customFormat="false" ht="15" hidden="false" customHeight="false" outlineLevel="0" collapsed="false">
      <c r="A99" s="2" t="s">
        <v>277</v>
      </c>
      <c r="B99" s="2" t="n">
        <v>78</v>
      </c>
      <c r="C99" s="2" t="s">
        <v>233</v>
      </c>
      <c r="D99" s="2" t="s">
        <v>403</v>
      </c>
      <c r="E99" s="2" t="s">
        <v>240</v>
      </c>
      <c r="F99" s="33" t="n">
        <v>45258</v>
      </c>
      <c r="G99" s="33" t="n">
        <v>45272</v>
      </c>
      <c r="H99" s="2" t="n">
        <v>999</v>
      </c>
      <c r="I99" s="2" t="s">
        <v>250</v>
      </c>
      <c r="J99" s="2" t="s">
        <v>236</v>
      </c>
    </row>
    <row r="100" customFormat="false" ht="15" hidden="false" customHeight="false" outlineLevel="0" collapsed="false">
      <c r="A100" s="2" t="s">
        <v>293</v>
      </c>
      <c r="B100" s="2" t="n">
        <v>65</v>
      </c>
      <c r="C100" s="2" t="s">
        <v>233</v>
      </c>
      <c r="D100" s="2" t="s">
        <v>403</v>
      </c>
      <c r="E100" s="2" t="s">
        <v>260</v>
      </c>
      <c r="F100" s="33" t="n">
        <v>44943</v>
      </c>
      <c r="G100" s="33" t="n">
        <v>44945</v>
      </c>
      <c r="H100" s="2" t="n">
        <v>999</v>
      </c>
      <c r="I100" s="2" t="s">
        <v>228</v>
      </c>
      <c r="J100" s="2" t="s">
        <v>256</v>
      </c>
    </row>
    <row r="101" customFormat="false" ht="15" hidden="false" customHeight="false" outlineLevel="0" collapsed="false">
      <c r="A101" s="2" t="s">
        <v>277</v>
      </c>
      <c r="B101" s="2" t="n">
        <v>9</v>
      </c>
      <c r="C101" s="2" t="s">
        <v>224</v>
      </c>
      <c r="D101" s="2" t="s">
        <v>408</v>
      </c>
      <c r="E101" s="2" t="s">
        <v>226</v>
      </c>
      <c r="F101" s="33" t="n">
        <v>45119</v>
      </c>
      <c r="G101" s="33" t="n">
        <v>45124</v>
      </c>
      <c r="H101" s="2" t="n">
        <v>3852</v>
      </c>
      <c r="I101" s="2" t="s">
        <v>235</v>
      </c>
      <c r="J101" s="2" t="s">
        <v>229</v>
      </c>
    </row>
    <row r="102" customFormat="false" ht="15" hidden="false" customHeight="false" outlineLevel="0" collapsed="false">
      <c r="A102" s="2" t="s">
        <v>289</v>
      </c>
      <c r="B102" s="2" t="n">
        <v>61</v>
      </c>
      <c r="C102" s="2" t="s">
        <v>224</v>
      </c>
      <c r="D102" s="2" t="s">
        <v>410</v>
      </c>
      <c r="E102" s="2" t="s">
        <v>226</v>
      </c>
      <c r="F102" s="33" t="n">
        <v>45207</v>
      </c>
      <c r="G102" s="33" t="n">
        <v>45224</v>
      </c>
      <c r="H102" s="2" t="n">
        <v>999</v>
      </c>
      <c r="I102" s="2" t="s">
        <v>228</v>
      </c>
      <c r="J102" s="2" t="s">
        <v>236</v>
      </c>
    </row>
    <row r="103" customFormat="false" ht="15" hidden="false" customHeight="false" outlineLevel="0" collapsed="false">
      <c r="A103" s="2" t="s">
        <v>223</v>
      </c>
      <c r="B103" s="2" t="n">
        <v>12</v>
      </c>
      <c r="C103" s="2" t="s">
        <v>233</v>
      </c>
      <c r="D103" s="2" t="s">
        <v>410</v>
      </c>
      <c r="E103" s="2" t="s">
        <v>226</v>
      </c>
      <c r="F103" s="33" t="n">
        <v>45148</v>
      </c>
      <c r="G103" s="33" t="n">
        <v>45151</v>
      </c>
      <c r="H103" s="2" t="n">
        <v>3852</v>
      </c>
      <c r="I103" s="2" t="s">
        <v>228</v>
      </c>
      <c r="J103" s="2" t="s">
        <v>229</v>
      </c>
    </row>
    <row r="104" customFormat="false" ht="15" hidden="false" customHeight="false" outlineLevel="0" collapsed="false">
      <c r="A104" s="2" t="s">
        <v>289</v>
      </c>
      <c r="B104" s="2" t="n">
        <v>63</v>
      </c>
      <c r="C104" s="2" t="s">
        <v>233</v>
      </c>
      <c r="D104" s="2" t="s">
        <v>410</v>
      </c>
      <c r="E104" s="2" t="s">
        <v>249</v>
      </c>
      <c r="F104" s="33" t="n">
        <v>45203</v>
      </c>
      <c r="G104" s="33" t="n">
        <v>45204</v>
      </c>
      <c r="H104" s="2" t="n">
        <v>1230</v>
      </c>
      <c r="I104" s="2" t="s">
        <v>228</v>
      </c>
      <c r="J104" s="2" t="s">
        <v>229</v>
      </c>
    </row>
    <row r="105" customFormat="false" ht="15" hidden="false" customHeight="false" outlineLevel="0" collapsed="false">
      <c r="A105" s="2" t="s">
        <v>298</v>
      </c>
      <c r="B105" s="2" t="n">
        <v>80</v>
      </c>
      <c r="C105" s="2" t="s">
        <v>233</v>
      </c>
      <c r="D105" s="2" t="s">
        <v>403</v>
      </c>
      <c r="E105" s="2" t="s">
        <v>226</v>
      </c>
      <c r="F105" s="33" t="n">
        <v>45212</v>
      </c>
      <c r="G105" s="33" t="n">
        <v>45214</v>
      </c>
      <c r="H105" s="2" t="n">
        <v>5035</v>
      </c>
      <c r="I105" s="2" t="s">
        <v>235</v>
      </c>
      <c r="J105" s="2" t="s">
        <v>229</v>
      </c>
    </row>
    <row r="106" customFormat="false" ht="15" hidden="false" customHeight="false" outlineLevel="0" collapsed="false">
      <c r="A106" s="2" t="s">
        <v>368</v>
      </c>
      <c r="B106" s="2" t="n">
        <v>78</v>
      </c>
      <c r="C106" s="2" t="s">
        <v>233</v>
      </c>
      <c r="D106" s="2" t="s">
        <v>403</v>
      </c>
      <c r="E106" s="2" t="s">
        <v>263</v>
      </c>
      <c r="F106" s="33" t="n">
        <v>45011</v>
      </c>
      <c r="G106" s="33" t="n">
        <v>45041</v>
      </c>
      <c r="H106" s="2" t="n">
        <v>999</v>
      </c>
      <c r="I106" s="2" t="s">
        <v>235</v>
      </c>
      <c r="J106" s="2" t="s">
        <v>229</v>
      </c>
    </row>
    <row r="107" customFormat="false" ht="15" hidden="false" customHeight="false" outlineLevel="0" collapsed="false">
      <c r="A107" s="2" t="s">
        <v>280</v>
      </c>
      <c r="B107" s="2" t="n">
        <v>49</v>
      </c>
      <c r="C107" s="2" t="s">
        <v>224</v>
      </c>
      <c r="D107" s="2" t="s">
        <v>403</v>
      </c>
      <c r="E107" s="2" t="s">
        <v>226</v>
      </c>
      <c r="F107" s="33" t="n">
        <v>45005</v>
      </c>
      <c r="G107" s="33" t="n">
        <v>45008</v>
      </c>
      <c r="H107" s="2" t="n">
        <v>999</v>
      </c>
      <c r="I107" s="2" t="s">
        <v>235</v>
      </c>
      <c r="J107" s="2" t="s">
        <v>256</v>
      </c>
    </row>
    <row r="108" customFormat="false" ht="15" hidden="false" customHeight="false" outlineLevel="0" collapsed="false">
      <c r="A108" s="2" t="s">
        <v>259</v>
      </c>
      <c r="B108" s="2" t="n">
        <v>5</v>
      </c>
      <c r="C108" s="2" t="s">
        <v>224</v>
      </c>
      <c r="D108" s="2" t="s">
        <v>403</v>
      </c>
      <c r="E108" s="2" t="s">
        <v>263</v>
      </c>
      <c r="F108" s="33" t="n">
        <v>44945</v>
      </c>
      <c r="G108" s="33" t="n">
        <v>44958</v>
      </c>
      <c r="H108" s="2" t="n">
        <v>3852</v>
      </c>
      <c r="I108" s="2" t="s">
        <v>250</v>
      </c>
      <c r="J108" s="2" t="s">
        <v>256</v>
      </c>
    </row>
    <row r="109" customFormat="false" ht="15" hidden="false" customHeight="false" outlineLevel="0" collapsed="false">
      <c r="A109" s="2" t="s">
        <v>398</v>
      </c>
      <c r="B109" s="2" t="n">
        <v>48</v>
      </c>
      <c r="C109" s="2" t="s">
        <v>233</v>
      </c>
      <c r="D109" s="2" t="s">
        <v>403</v>
      </c>
      <c r="E109" s="2" t="s">
        <v>226</v>
      </c>
      <c r="F109" s="33" t="n">
        <v>44949</v>
      </c>
      <c r="G109" s="33" t="n">
        <v>44944</v>
      </c>
      <c r="H109" s="2" t="n">
        <v>999</v>
      </c>
      <c r="I109" s="2" t="s">
        <v>228</v>
      </c>
      <c r="J109" s="2" t="s">
        <v>256</v>
      </c>
    </row>
    <row r="110" customFormat="false" ht="15" hidden="false" customHeight="false" outlineLevel="0" collapsed="false">
      <c r="A110" s="2" t="s">
        <v>323</v>
      </c>
      <c r="B110" s="2" t="n">
        <v>59</v>
      </c>
      <c r="C110" s="2" t="s">
        <v>224</v>
      </c>
      <c r="D110" s="2" t="s">
        <v>225</v>
      </c>
      <c r="E110" s="2" t="s">
        <v>263</v>
      </c>
      <c r="F110" s="33" t="n">
        <v>44940</v>
      </c>
      <c r="G110" s="33" t="n">
        <v>44947</v>
      </c>
      <c r="H110" s="2" t="n">
        <v>999</v>
      </c>
      <c r="I110" s="2" t="s">
        <v>235</v>
      </c>
      <c r="J110" s="2" t="s">
        <v>236</v>
      </c>
    </row>
    <row r="111" customFormat="false" ht="15" hidden="false" customHeight="false" outlineLevel="0" collapsed="false">
      <c r="A111" s="2" t="s">
        <v>421</v>
      </c>
      <c r="B111" s="2" t="n">
        <v>19</v>
      </c>
      <c r="C111" s="2" t="s">
        <v>233</v>
      </c>
      <c r="D111" s="2" t="s">
        <v>225</v>
      </c>
      <c r="E111" s="2" t="s">
        <v>245</v>
      </c>
      <c r="F111" s="33" t="n">
        <v>45133</v>
      </c>
      <c r="G111" s="33" t="n">
        <v>45135</v>
      </c>
      <c r="H111" s="2" t="n">
        <v>1262</v>
      </c>
      <c r="I111" s="2" t="s">
        <v>235</v>
      </c>
      <c r="J111" s="2" t="s">
        <v>236</v>
      </c>
    </row>
    <row r="112" customFormat="false" ht="15" hidden="false" customHeight="false" outlineLevel="0" collapsed="false">
      <c r="A112" s="2" t="s">
        <v>360</v>
      </c>
      <c r="B112" s="2" t="n">
        <v>49</v>
      </c>
      <c r="C112" s="2" t="s">
        <v>224</v>
      </c>
      <c r="D112" s="2" t="s">
        <v>225</v>
      </c>
      <c r="E112" s="2" t="s">
        <v>240</v>
      </c>
      <c r="F112" s="33" t="n">
        <v>44952</v>
      </c>
      <c r="G112" s="33" t="n">
        <v>44964</v>
      </c>
      <c r="H112" s="2" t="n">
        <v>999</v>
      </c>
      <c r="I112" s="2" t="s">
        <v>228</v>
      </c>
      <c r="J112" s="2" t="s">
        <v>256</v>
      </c>
    </row>
    <row r="113" customFormat="false" ht="15" hidden="false" customHeight="false" outlineLevel="0" collapsed="false">
      <c r="A113" s="2" t="s">
        <v>336</v>
      </c>
      <c r="B113" s="2" t="n">
        <v>26</v>
      </c>
      <c r="C113" s="2" t="s">
        <v>233</v>
      </c>
      <c r="D113" s="2" t="s">
        <v>225</v>
      </c>
      <c r="E113" s="2" t="s">
        <v>245</v>
      </c>
      <c r="F113" s="33" t="n">
        <v>44931</v>
      </c>
      <c r="G113" s="33" t="n">
        <v>44933</v>
      </c>
      <c r="H113" s="2" t="n">
        <v>999</v>
      </c>
      <c r="I113" s="2" t="s">
        <v>250</v>
      </c>
      <c r="J113" s="2" t="s">
        <v>229</v>
      </c>
    </row>
    <row r="114" customFormat="false" ht="15" hidden="false" customHeight="false" outlineLevel="0" collapsed="false">
      <c r="A114" s="2" t="s">
        <v>254</v>
      </c>
      <c r="B114" s="2" t="n">
        <v>77</v>
      </c>
      <c r="C114" s="2" t="s">
        <v>233</v>
      </c>
      <c r="D114" s="2" t="s">
        <v>330</v>
      </c>
      <c r="E114" s="2" t="s">
        <v>245</v>
      </c>
      <c r="F114" s="33" t="n">
        <v>45200</v>
      </c>
      <c r="G114" s="33" t="n">
        <v>45202</v>
      </c>
      <c r="H114" s="2" t="n">
        <v>3852</v>
      </c>
      <c r="I114" s="2" t="s">
        <v>250</v>
      </c>
      <c r="J114" s="2" t="s">
        <v>229</v>
      </c>
    </row>
    <row r="115" customFormat="false" ht="15" hidden="false" customHeight="false" outlineLevel="0" collapsed="false">
      <c r="A115" s="2" t="s">
        <v>426</v>
      </c>
      <c r="B115" s="2" t="n">
        <v>50</v>
      </c>
      <c r="C115" s="2" t="s">
        <v>224</v>
      </c>
      <c r="D115" s="2" t="s">
        <v>330</v>
      </c>
      <c r="E115" s="2" t="s">
        <v>226</v>
      </c>
      <c r="F115" s="33" t="n">
        <v>45051</v>
      </c>
      <c r="G115" s="33" t="n">
        <v>45065</v>
      </c>
      <c r="H115" s="2" t="n">
        <v>3852</v>
      </c>
      <c r="I115" s="2" t="s">
        <v>235</v>
      </c>
      <c r="J115" s="2" t="s">
        <v>229</v>
      </c>
    </row>
    <row r="116" customFormat="false" ht="15" hidden="false" customHeight="false" outlineLevel="0" collapsed="false">
      <c r="A116" s="2" t="s">
        <v>345</v>
      </c>
      <c r="B116" s="2" t="n">
        <v>64</v>
      </c>
      <c r="C116" s="2" t="s">
        <v>224</v>
      </c>
      <c r="D116" s="2" t="s">
        <v>330</v>
      </c>
      <c r="E116" s="2" t="s">
        <v>255</v>
      </c>
      <c r="F116" s="33" t="n">
        <v>45225</v>
      </c>
      <c r="G116" s="33" t="n">
        <v>45245</v>
      </c>
      <c r="H116" s="2" t="n">
        <v>3852</v>
      </c>
      <c r="I116" s="2" t="s">
        <v>250</v>
      </c>
      <c r="J116" s="2" t="s">
        <v>229</v>
      </c>
    </row>
    <row r="117" customFormat="false" ht="15" hidden="false" customHeight="false" outlineLevel="0" collapsed="false">
      <c r="A117" s="2" t="s">
        <v>325</v>
      </c>
      <c r="B117" s="2" t="n">
        <v>36</v>
      </c>
      <c r="C117" s="2" t="s">
        <v>233</v>
      </c>
      <c r="D117" s="2" t="s">
        <v>330</v>
      </c>
      <c r="E117" s="2" t="s">
        <v>249</v>
      </c>
      <c r="F117" s="33" t="n">
        <v>45071</v>
      </c>
      <c r="G117" s="33" t="n">
        <v>45074</v>
      </c>
      <c r="H117" s="2" t="n">
        <v>999</v>
      </c>
      <c r="I117" s="2" t="s">
        <v>250</v>
      </c>
      <c r="J117" s="2" t="s">
        <v>229</v>
      </c>
    </row>
    <row r="118" customFormat="false" ht="15" hidden="false" customHeight="false" outlineLevel="0" collapsed="false">
      <c r="A118" s="2" t="s">
        <v>365</v>
      </c>
      <c r="B118" s="2" t="n">
        <v>31</v>
      </c>
      <c r="C118" s="2" t="s">
        <v>224</v>
      </c>
      <c r="D118" s="2" t="s">
        <v>330</v>
      </c>
      <c r="E118" s="2" t="s">
        <v>255</v>
      </c>
      <c r="F118" s="33" t="n">
        <v>45042</v>
      </c>
      <c r="G118" s="33" t="n">
        <v>45044</v>
      </c>
      <c r="H118" s="2" t="n">
        <v>999</v>
      </c>
      <c r="I118" s="2" t="s">
        <v>235</v>
      </c>
      <c r="J118" s="2" t="s">
        <v>236</v>
      </c>
    </row>
    <row r="119" customFormat="false" ht="15" hidden="false" customHeight="false" outlineLevel="0" collapsed="false">
      <c r="A119" s="2" t="s">
        <v>379</v>
      </c>
      <c r="B119" s="2" t="n">
        <v>25</v>
      </c>
      <c r="C119" s="2" t="s">
        <v>233</v>
      </c>
      <c r="D119" s="2" t="s">
        <v>330</v>
      </c>
      <c r="E119" s="2" t="s">
        <v>263</v>
      </c>
      <c r="F119" s="33" t="n">
        <v>45058</v>
      </c>
      <c r="G119" s="33" t="n">
        <v>45076</v>
      </c>
      <c r="H119" s="2" t="n">
        <v>999</v>
      </c>
      <c r="I119" s="2" t="s">
        <v>235</v>
      </c>
      <c r="J119" s="2" t="s">
        <v>229</v>
      </c>
    </row>
    <row r="120" customFormat="false" ht="15" hidden="false" customHeight="false" outlineLevel="0" collapsed="false">
      <c r="A120" s="2" t="s">
        <v>426</v>
      </c>
      <c r="B120" s="2" t="n">
        <v>1</v>
      </c>
      <c r="C120" s="2" t="s">
        <v>224</v>
      </c>
      <c r="D120" s="2" t="s">
        <v>330</v>
      </c>
      <c r="E120" s="2" t="s">
        <v>263</v>
      </c>
      <c r="F120" s="33" t="n">
        <v>45272</v>
      </c>
      <c r="G120" s="33" t="n">
        <v>45273</v>
      </c>
      <c r="H120" s="2" t="n">
        <v>999</v>
      </c>
      <c r="I120" s="2" t="s">
        <v>228</v>
      </c>
      <c r="J120" s="2" t="s">
        <v>229</v>
      </c>
    </row>
    <row r="121" customFormat="false" ht="15" hidden="false" customHeight="false" outlineLevel="0" collapsed="false">
      <c r="A121" s="2" t="s">
        <v>426</v>
      </c>
      <c r="B121" s="2" t="n">
        <v>81</v>
      </c>
      <c r="C121" s="2" t="s">
        <v>224</v>
      </c>
      <c r="D121" s="2" t="s">
        <v>330</v>
      </c>
      <c r="E121" s="2" t="s">
        <v>260</v>
      </c>
      <c r="F121" s="33" t="n">
        <v>44941</v>
      </c>
      <c r="G121" s="33" t="n">
        <v>44944</v>
      </c>
      <c r="H121" s="2" t="n">
        <v>2873</v>
      </c>
      <c r="I121" s="2" t="s">
        <v>228</v>
      </c>
      <c r="J121" s="2" t="s">
        <v>229</v>
      </c>
    </row>
    <row r="122" customFormat="false" ht="15" hidden="false" customHeight="false" outlineLevel="0" collapsed="false">
      <c r="A122" s="2" t="s">
        <v>252</v>
      </c>
      <c r="B122" s="2" t="n">
        <v>68</v>
      </c>
      <c r="C122" s="2" t="s">
        <v>224</v>
      </c>
      <c r="D122" s="2" t="s">
        <v>330</v>
      </c>
      <c r="E122" s="2" t="s">
        <v>255</v>
      </c>
      <c r="F122" s="33" t="n">
        <v>45146</v>
      </c>
      <c r="G122" s="33" t="n">
        <v>45153</v>
      </c>
      <c r="H122" s="2" t="n">
        <v>3852</v>
      </c>
      <c r="I122" s="2" t="s">
        <v>235</v>
      </c>
      <c r="J122" s="2" t="s">
        <v>229</v>
      </c>
    </row>
    <row r="123" customFormat="false" ht="15" hidden="false" customHeight="false" outlineLevel="0" collapsed="false">
      <c r="A123" s="2" t="s">
        <v>358</v>
      </c>
      <c r="B123" s="2" t="n">
        <v>13</v>
      </c>
      <c r="C123" s="2" t="s">
        <v>224</v>
      </c>
      <c r="D123" s="2" t="s">
        <v>330</v>
      </c>
      <c r="E123" s="2" t="s">
        <v>226</v>
      </c>
      <c r="F123" s="33" t="n">
        <v>45001</v>
      </c>
      <c r="G123" s="33" t="n">
        <v>45004</v>
      </c>
      <c r="H123" s="2" t="n">
        <v>999</v>
      </c>
      <c r="I123" s="2" t="s">
        <v>235</v>
      </c>
      <c r="J123" s="2" t="s">
        <v>256</v>
      </c>
    </row>
    <row r="124" customFormat="false" ht="15" hidden="false" customHeight="false" outlineLevel="0" collapsed="false">
      <c r="A124" s="2" t="s">
        <v>379</v>
      </c>
      <c r="B124" s="2" t="n">
        <v>46</v>
      </c>
      <c r="C124" s="2" t="s">
        <v>233</v>
      </c>
      <c r="D124" s="2" t="s">
        <v>330</v>
      </c>
      <c r="E124" s="2" t="s">
        <v>249</v>
      </c>
      <c r="F124" s="33" t="n">
        <v>45028</v>
      </c>
      <c r="G124" s="33" t="n">
        <v>45043</v>
      </c>
      <c r="H124" s="2" t="n">
        <v>3852</v>
      </c>
      <c r="I124" s="2" t="s">
        <v>235</v>
      </c>
      <c r="J124" s="2" t="s">
        <v>236</v>
      </c>
    </row>
    <row r="125" customFormat="false" ht="15" hidden="false" customHeight="false" outlineLevel="0" collapsed="false">
      <c r="A125" s="2" t="s">
        <v>223</v>
      </c>
      <c r="B125" s="2" t="n">
        <v>49</v>
      </c>
      <c r="C125" s="2" t="s">
        <v>224</v>
      </c>
      <c r="D125" s="2" t="s">
        <v>330</v>
      </c>
      <c r="E125" s="2" t="s">
        <v>240</v>
      </c>
      <c r="F125" s="33" t="n">
        <v>45027</v>
      </c>
      <c r="G125" s="33" t="n">
        <v>45030</v>
      </c>
      <c r="H125" s="2" t="n">
        <v>3682</v>
      </c>
      <c r="I125" s="2" t="s">
        <v>228</v>
      </c>
      <c r="J125" s="2" t="s">
        <v>229</v>
      </c>
    </row>
    <row r="126" customFormat="false" ht="15" hidden="false" customHeight="false" outlineLevel="0" collapsed="false">
      <c r="A126" s="2" t="s">
        <v>334</v>
      </c>
      <c r="B126" s="2" t="n">
        <v>86</v>
      </c>
      <c r="C126" s="2" t="s">
        <v>224</v>
      </c>
      <c r="D126" s="2" t="s">
        <v>330</v>
      </c>
      <c r="E126" s="2" t="s">
        <v>260</v>
      </c>
      <c r="F126" s="33" t="n">
        <v>45059</v>
      </c>
      <c r="G126" s="33" t="n">
        <v>45083</v>
      </c>
      <c r="H126" s="2" t="n">
        <v>3852</v>
      </c>
      <c r="I126" s="2" t="s">
        <v>228</v>
      </c>
      <c r="J126" s="2" t="s">
        <v>256</v>
      </c>
    </row>
    <row r="127" customFormat="false" ht="15" hidden="false" customHeight="false" outlineLevel="0" collapsed="false">
      <c r="A127" s="2" t="s">
        <v>289</v>
      </c>
      <c r="B127" s="2" t="n">
        <v>76</v>
      </c>
      <c r="C127" s="2" t="s">
        <v>224</v>
      </c>
      <c r="D127" s="2" t="s">
        <v>330</v>
      </c>
      <c r="E127" s="2" t="s">
        <v>245</v>
      </c>
      <c r="F127" s="33" t="n">
        <v>44958</v>
      </c>
      <c r="G127" s="33" t="n">
        <v>44954</v>
      </c>
      <c r="H127" s="2" t="n">
        <v>999</v>
      </c>
      <c r="I127" s="2" t="s">
        <v>228</v>
      </c>
      <c r="J127" s="2" t="s">
        <v>256</v>
      </c>
    </row>
    <row r="128" customFormat="false" ht="15" hidden="false" customHeight="false" outlineLevel="0" collapsed="false">
      <c r="A128" s="2" t="s">
        <v>259</v>
      </c>
      <c r="B128" s="2" t="n">
        <v>41</v>
      </c>
      <c r="C128" s="2" t="s">
        <v>224</v>
      </c>
      <c r="D128" s="2" t="s">
        <v>330</v>
      </c>
      <c r="E128" s="2" t="s">
        <v>249</v>
      </c>
      <c r="F128" s="33" t="n">
        <v>45021</v>
      </c>
      <c r="G128" s="33" t="n">
        <v>45039</v>
      </c>
      <c r="H128" s="2" t="n">
        <v>3852</v>
      </c>
      <c r="I128" s="2" t="s">
        <v>235</v>
      </c>
      <c r="J128" s="2" t="s">
        <v>256</v>
      </c>
    </row>
    <row r="129" customFormat="false" ht="15" hidden="false" customHeight="false" outlineLevel="0" collapsed="false">
      <c r="A129" s="2" t="s">
        <v>441</v>
      </c>
      <c r="B129" s="2" t="n">
        <v>59</v>
      </c>
      <c r="C129" s="2" t="s">
        <v>224</v>
      </c>
      <c r="D129" s="2" t="s">
        <v>330</v>
      </c>
      <c r="E129" s="2" t="s">
        <v>263</v>
      </c>
      <c r="F129" s="33" t="n">
        <v>45286</v>
      </c>
      <c r="G129" s="33" t="n">
        <v>45303</v>
      </c>
      <c r="H129" s="2" t="n">
        <v>999</v>
      </c>
      <c r="I129" s="2" t="s">
        <v>250</v>
      </c>
      <c r="J129" s="2" t="s">
        <v>229</v>
      </c>
    </row>
    <row r="130" customFormat="false" ht="15" hidden="false" customHeight="false" outlineLevel="0" collapsed="false">
      <c r="A130" s="2" t="s">
        <v>277</v>
      </c>
      <c r="B130" s="2" t="n">
        <v>74</v>
      </c>
      <c r="C130" s="2" t="s">
        <v>233</v>
      </c>
      <c r="D130" s="2" t="s">
        <v>403</v>
      </c>
      <c r="E130" s="2" t="s">
        <v>249</v>
      </c>
      <c r="F130" s="33" t="n">
        <v>45266</v>
      </c>
      <c r="G130" s="33" t="n">
        <v>45268</v>
      </c>
      <c r="H130" s="2" t="n">
        <v>5998</v>
      </c>
      <c r="I130" s="2" t="s">
        <v>250</v>
      </c>
      <c r="J130" s="2" t="s">
        <v>256</v>
      </c>
    </row>
    <row r="131" customFormat="false" ht="15" hidden="false" customHeight="false" outlineLevel="0" collapsed="false">
      <c r="A131" s="2" t="s">
        <v>298</v>
      </c>
      <c r="B131" s="2" t="n">
        <v>27</v>
      </c>
      <c r="C131" s="2" t="s">
        <v>233</v>
      </c>
      <c r="D131" s="2" t="s">
        <v>403</v>
      </c>
      <c r="E131" s="2" t="s">
        <v>240</v>
      </c>
      <c r="F131" s="33" t="n">
        <v>45122</v>
      </c>
      <c r="G131" s="33" t="n">
        <v>45125</v>
      </c>
      <c r="H131" s="2" t="n">
        <v>999</v>
      </c>
      <c r="I131" s="2" t="s">
        <v>235</v>
      </c>
      <c r="J131" s="2" t="s">
        <v>229</v>
      </c>
    </row>
    <row r="132" customFormat="false" ht="15" hidden="false" customHeight="false" outlineLevel="0" collapsed="false">
      <c r="A132" s="2" t="s">
        <v>398</v>
      </c>
      <c r="B132" s="2" t="n">
        <v>7</v>
      </c>
      <c r="C132" s="2" t="s">
        <v>233</v>
      </c>
      <c r="D132" s="2" t="s">
        <v>403</v>
      </c>
      <c r="E132" s="2" t="s">
        <v>263</v>
      </c>
      <c r="F132" s="33" t="n">
        <v>45231</v>
      </c>
      <c r="G132" s="33" t="n">
        <v>45234</v>
      </c>
      <c r="H132" s="2" t="n">
        <v>2807</v>
      </c>
      <c r="I132" s="2" t="s">
        <v>250</v>
      </c>
      <c r="J132" s="2" t="s">
        <v>256</v>
      </c>
    </row>
    <row r="133" customFormat="false" ht="15" hidden="false" customHeight="false" outlineLevel="0" collapsed="false">
      <c r="A133" s="2" t="s">
        <v>325</v>
      </c>
      <c r="B133" s="2" t="n">
        <v>56</v>
      </c>
      <c r="C133" s="2" t="s">
        <v>224</v>
      </c>
      <c r="D133" s="2" t="s">
        <v>403</v>
      </c>
      <c r="E133" s="2" t="s">
        <v>245</v>
      </c>
      <c r="F133" s="33" t="n">
        <v>44934</v>
      </c>
      <c r="G133" s="33" t="n">
        <v>44954</v>
      </c>
      <c r="H133" s="2" t="n">
        <v>999</v>
      </c>
      <c r="I133" s="2" t="s">
        <v>235</v>
      </c>
      <c r="J133" s="2" t="s">
        <v>236</v>
      </c>
    </row>
    <row r="134" customFormat="false" ht="15" hidden="false" customHeight="false" outlineLevel="0" collapsed="false">
      <c r="A134" s="2" t="s">
        <v>447</v>
      </c>
      <c r="B134" s="2" t="n">
        <v>50</v>
      </c>
      <c r="C134" s="2" t="s">
        <v>233</v>
      </c>
      <c r="D134" s="2" t="s">
        <v>355</v>
      </c>
      <c r="E134" s="2" t="s">
        <v>263</v>
      </c>
      <c r="F134" s="33" t="n">
        <v>45022</v>
      </c>
      <c r="G134" s="33" t="n">
        <v>45018</v>
      </c>
      <c r="H134" s="2" t="n">
        <v>999</v>
      </c>
      <c r="I134" s="2" t="s">
        <v>235</v>
      </c>
      <c r="J134" s="2" t="s">
        <v>229</v>
      </c>
    </row>
    <row r="135" customFormat="false" ht="15" hidden="false" customHeight="false" outlineLevel="0" collapsed="false">
      <c r="A135" s="2" t="s">
        <v>238</v>
      </c>
      <c r="B135" s="2" t="n">
        <v>44</v>
      </c>
      <c r="C135" s="2" t="s">
        <v>224</v>
      </c>
      <c r="D135" s="2" t="s">
        <v>355</v>
      </c>
      <c r="E135" s="2" t="s">
        <v>255</v>
      </c>
      <c r="F135" s="33" t="n">
        <v>44980</v>
      </c>
      <c r="G135" s="33" t="n">
        <v>44978</v>
      </c>
      <c r="H135" s="2" t="n">
        <v>999</v>
      </c>
      <c r="I135" s="2" t="s">
        <v>235</v>
      </c>
      <c r="J135" s="2" t="s">
        <v>229</v>
      </c>
    </row>
    <row r="136" customFormat="false" ht="15" hidden="false" customHeight="false" outlineLevel="0" collapsed="false">
      <c r="A136" s="2" t="s">
        <v>323</v>
      </c>
      <c r="B136" s="2" t="n">
        <v>55</v>
      </c>
      <c r="C136" s="2" t="s">
        <v>224</v>
      </c>
      <c r="D136" s="2" t="s">
        <v>355</v>
      </c>
      <c r="E136" s="2" t="s">
        <v>245</v>
      </c>
      <c r="F136" s="33" t="n">
        <v>45043</v>
      </c>
      <c r="G136" s="33" t="n">
        <v>45048</v>
      </c>
      <c r="H136" s="2" t="n">
        <v>2214</v>
      </c>
      <c r="I136" s="2" t="s">
        <v>250</v>
      </c>
      <c r="J136" s="2" t="s">
        <v>236</v>
      </c>
    </row>
    <row r="137" customFormat="false" ht="15" hidden="false" customHeight="false" outlineLevel="0" collapsed="false">
      <c r="A137" s="2" t="s">
        <v>372</v>
      </c>
      <c r="B137" s="2" t="n">
        <v>22</v>
      </c>
      <c r="C137" s="2" t="s">
        <v>233</v>
      </c>
      <c r="D137" s="2" t="s">
        <v>355</v>
      </c>
      <c r="E137" s="2" t="s">
        <v>263</v>
      </c>
      <c r="F137" s="33" t="n">
        <v>44927</v>
      </c>
      <c r="G137" s="33" t="n">
        <v>44931</v>
      </c>
      <c r="H137" s="2" t="n">
        <v>5339</v>
      </c>
      <c r="I137" s="2" t="s">
        <v>250</v>
      </c>
      <c r="J137" s="2" t="s">
        <v>256</v>
      </c>
    </row>
    <row r="138" customFormat="false" ht="15" hidden="false" customHeight="false" outlineLevel="0" collapsed="false">
      <c r="A138" s="2" t="s">
        <v>259</v>
      </c>
      <c r="B138" s="2" t="n">
        <v>24</v>
      </c>
      <c r="C138" s="2" t="s">
        <v>233</v>
      </c>
      <c r="D138" s="2" t="s">
        <v>355</v>
      </c>
      <c r="E138" s="2" t="s">
        <v>249</v>
      </c>
      <c r="F138" s="33" t="n">
        <v>45093</v>
      </c>
      <c r="G138" s="33" t="n">
        <v>45100</v>
      </c>
      <c r="H138" s="2" t="n">
        <v>3852</v>
      </c>
      <c r="I138" s="2" t="s">
        <v>235</v>
      </c>
      <c r="J138" s="2" t="s">
        <v>236</v>
      </c>
    </row>
    <row r="139" customFormat="false" ht="15" hidden="false" customHeight="false" outlineLevel="0" collapsed="false">
      <c r="A139" s="2" t="s">
        <v>223</v>
      </c>
      <c r="B139" s="2" t="n">
        <v>10</v>
      </c>
      <c r="C139" s="2" t="s">
        <v>233</v>
      </c>
      <c r="D139" s="2" t="s">
        <v>355</v>
      </c>
      <c r="E139" s="2" t="s">
        <v>263</v>
      </c>
      <c r="F139" s="33" t="n">
        <v>45109</v>
      </c>
      <c r="G139" s="33" t="n">
        <v>45107</v>
      </c>
      <c r="H139" s="2" t="n">
        <v>999</v>
      </c>
      <c r="I139" s="2" t="s">
        <v>250</v>
      </c>
      <c r="J139" s="2" t="s">
        <v>256</v>
      </c>
    </row>
    <row r="140" customFormat="false" ht="15" hidden="false" customHeight="false" outlineLevel="0" collapsed="false">
      <c r="A140" s="2" t="s">
        <v>454</v>
      </c>
      <c r="B140" s="2" t="n">
        <v>27</v>
      </c>
      <c r="C140" s="2" t="s">
        <v>233</v>
      </c>
      <c r="D140" s="2" t="s">
        <v>355</v>
      </c>
      <c r="E140" s="2" t="s">
        <v>226</v>
      </c>
      <c r="F140" s="33" t="n">
        <v>45057</v>
      </c>
      <c r="G140" s="33" t="n">
        <v>45063</v>
      </c>
      <c r="H140" s="2" t="n">
        <v>999</v>
      </c>
      <c r="I140" s="2" t="s">
        <v>250</v>
      </c>
      <c r="J140" s="2" t="s">
        <v>256</v>
      </c>
    </row>
    <row r="141" customFormat="false" ht="15" hidden="false" customHeight="false" outlineLevel="0" collapsed="false">
      <c r="A141" s="2" t="s">
        <v>298</v>
      </c>
      <c r="B141" s="2" t="n">
        <v>56</v>
      </c>
      <c r="C141" s="2" t="s">
        <v>224</v>
      </c>
      <c r="D141" s="2" t="s">
        <v>355</v>
      </c>
      <c r="E141" s="2" t="s">
        <v>255</v>
      </c>
      <c r="F141" s="33" t="n">
        <v>45180</v>
      </c>
      <c r="G141" s="33" t="n">
        <v>45183</v>
      </c>
      <c r="H141" s="2" t="n">
        <v>936</v>
      </c>
      <c r="I141" s="2" t="s">
        <v>250</v>
      </c>
      <c r="J141" s="2" t="s">
        <v>256</v>
      </c>
    </row>
    <row r="142" customFormat="false" ht="15" hidden="false" customHeight="false" outlineLevel="0" collapsed="false">
      <c r="A142" s="2" t="s">
        <v>354</v>
      </c>
      <c r="B142" s="2" t="n">
        <v>5</v>
      </c>
      <c r="C142" s="2" t="s">
        <v>224</v>
      </c>
      <c r="D142" s="2" t="s">
        <v>457</v>
      </c>
      <c r="E142" s="2" t="s">
        <v>249</v>
      </c>
      <c r="F142" s="33" t="n">
        <v>45073</v>
      </c>
      <c r="G142" s="33" t="n">
        <v>45076</v>
      </c>
      <c r="H142" s="2" t="n">
        <v>3852</v>
      </c>
      <c r="I142" s="2" t="s">
        <v>250</v>
      </c>
      <c r="J142" s="2" t="s">
        <v>256</v>
      </c>
    </row>
    <row r="143" customFormat="false" ht="15" hidden="false" customHeight="false" outlineLevel="0" collapsed="false">
      <c r="A143" s="2" t="s">
        <v>307</v>
      </c>
      <c r="B143" s="2" t="n">
        <v>50</v>
      </c>
      <c r="C143" s="2" t="s">
        <v>224</v>
      </c>
      <c r="D143" s="2" t="s">
        <v>457</v>
      </c>
      <c r="E143" s="2" t="s">
        <v>226</v>
      </c>
      <c r="F143" s="33" t="n">
        <v>45208</v>
      </c>
      <c r="G143" s="33" t="n">
        <v>45214</v>
      </c>
      <c r="H143" s="2" t="n">
        <v>999</v>
      </c>
      <c r="I143" s="2" t="s">
        <v>235</v>
      </c>
      <c r="J143" s="2" t="s">
        <v>256</v>
      </c>
    </row>
    <row r="144" customFormat="false" ht="15" hidden="false" customHeight="false" outlineLevel="0" collapsed="false">
      <c r="A144" s="2" t="s">
        <v>460</v>
      </c>
      <c r="B144" s="2" t="n">
        <v>56</v>
      </c>
      <c r="C144" s="2" t="s">
        <v>233</v>
      </c>
      <c r="D144" s="2" t="s">
        <v>457</v>
      </c>
      <c r="E144" s="2" t="s">
        <v>263</v>
      </c>
      <c r="F144" s="33" t="n">
        <v>44931</v>
      </c>
      <c r="G144" s="33" t="n">
        <v>44937</v>
      </c>
      <c r="H144" s="2" t="n">
        <v>3852</v>
      </c>
      <c r="I144" s="2" t="s">
        <v>228</v>
      </c>
      <c r="J144" s="2" t="s">
        <v>256</v>
      </c>
    </row>
    <row r="145" customFormat="false" ht="15" hidden="false" customHeight="false" outlineLevel="0" collapsed="false">
      <c r="A145" s="2" t="s">
        <v>317</v>
      </c>
      <c r="B145" s="2" t="n">
        <v>73</v>
      </c>
      <c r="C145" s="2" t="s">
        <v>233</v>
      </c>
      <c r="D145" s="2" t="s">
        <v>457</v>
      </c>
      <c r="E145" s="2" t="s">
        <v>226</v>
      </c>
      <c r="F145" s="33" t="n">
        <v>45128</v>
      </c>
      <c r="G145" s="33" t="n">
        <v>45156</v>
      </c>
      <c r="H145" s="2" t="n">
        <v>999</v>
      </c>
      <c r="I145" s="2" t="s">
        <v>250</v>
      </c>
      <c r="J145" s="2" t="s">
        <v>236</v>
      </c>
    </row>
    <row r="146" customFormat="false" ht="15" hidden="false" customHeight="false" outlineLevel="0" collapsed="false">
      <c r="A146" s="2" t="s">
        <v>441</v>
      </c>
      <c r="B146" s="2" t="n">
        <v>32</v>
      </c>
      <c r="C146" s="2" t="s">
        <v>233</v>
      </c>
      <c r="D146" s="2" t="s">
        <v>457</v>
      </c>
      <c r="E146" s="2" t="s">
        <v>260</v>
      </c>
      <c r="F146" s="33" t="n">
        <v>45258</v>
      </c>
      <c r="G146" s="33" t="n">
        <v>45261</v>
      </c>
      <c r="H146" s="2" t="n">
        <v>999</v>
      </c>
      <c r="I146" s="2" t="s">
        <v>250</v>
      </c>
      <c r="J146" s="2" t="s">
        <v>236</v>
      </c>
    </row>
    <row r="147" customFormat="false" ht="15" hidden="false" customHeight="false" outlineLevel="0" collapsed="false">
      <c r="A147" s="2" t="s">
        <v>354</v>
      </c>
      <c r="B147" s="2" t="n">
        <v>86</v>
      </c>
      <c r="C147" s="2" t="s">
        <v>233</v>
      </c>
      <c r="D147" s="2" t="s">
        <v>457</v>
      </c>
      <c r="E147" s="2" t="s">
        <v>245</v>
      </c>
      <c r="F147" s="33" t="n">
        <v>45196</v>
      </c>
      <c r="G147" s="33" t="n">
        <v>45194</v>
      </c>
      <c r="H147" s="2" t="n">
        <v>999</v>
      </c>
      <c r="I147" s="2" t="s">
        <v>228</v>
      </c>
      <c r="J147" s="2" t="s">
        <v>229</v>
      </c>
    </row>
    <row r="148" customFormat="false" ht="15" hidden="false" customHeight="false" outlineLevel="0" collapsed="false">
      <c r="A148" s="2" t="s">
        <v>465</v>
      </c>
      <c r="B148" s="2" t="n">
        <v>26</v>
      </c>
      <c r="C148" s="2" t="s">
        <v>224</v>
      </c>
      <c r="D148" s="2" t="s">
        <v>457</v>
      </c>
      <c r="E148" s="2" t="s">
        <v>255</v>
      </c>
      <c r="F148" s="33" t="n">
        <v>45172</v>
      </c>
      <c r="G148" s="33" t="n">
        <v>45178</v>
      </c>
      <c r="H148" s="2" t="n">
        <v>3852</v>
      </c>
      <c r="I148" s="2" t="s">
        <v>228</v>
      </c>
      <c r="J148" s="2" t="s">
        <v>256</v>
      </c>
    </row>
    <row r="149" customFormat="false" ht="15" hidden="false" customHeight="false" outlineLevel="0" collapsed="false">
      <c r="A149" s="2" t="s">
        <v>467</v>
      </c>
      <c r="B149" s="2" t="n">
        <v>83</v>
      </c>
      <c r="C149" s="2" t="s">
        <v>233</v>
      </c>
      <c r="D149" s="2" t="s">
        <v>408</v>
      </c>
      <c r="E149" s="2" t="s">
        <v>226</v>
      </c>
      <c r="F149" s="33" t="n">
        <v>45224</v>
      </c>
      <c r="G149" s="33" t="n">
        <v>45238</v>
      </c>
      <c r="H149" s="2" t="n">
        <v>3852</v>
      </c>
      <c r="I149" s="2" t="s">
        <v>228</v>
      </c>
      <c r="J149" s="2" t="s">
        <v>229</v>
      </c>
    </row>
    <row r="150" customFormat="false" ht="15" hidden="false" customHeight="false" outlineLevel="0" collapsed="false">
      <c r="A150" s="2" t="s">
        <v>266</v>
      </c>
      <c r="B150" s="2" t="n">
        <v>62</v>
      </c>
      <c r="C150" s="2" t="s">
        <v>224</v>
      </c>
      <c r="D150" s="2" t="s">
        <v>408</v>
      </c>
      <c r="E150" s="2" t="s">
        <v>245</v>
      </c>
      <c r="F150" s="33" t="n">
        <v>45273</v>
      </c>
      <c r="G150" s="33" t="n">
        <v>45276</v>
      </c>
      <c r="H150" s="2" t="n">
        <v>3852</v>
      </c>
      <c r="I150" s="2" t="s">
        <v>250</v>
      </c>
      <c r="J150" s="2" t="s">
        <v>229</v>
      </c>
    </row>
    <row r="151" customFormat="false" ht="15" hidden="false" customHeight="false" outlineLevel="0" collapsed="false">
      <c r="A151" s="2" t="s">
        <v>352</v>
      </c>
      <c r="B151" s="2" t="n">
        <v>59</v>
      </c>
      <c r="C151" s="2" t="s">
        <v>233</v>
      </c>
      <c r="D151" s="2" t="s">
        <v>408</v>
      </c>
      <c r="E151" s="2" t="s">
        <v>260</v>
      </c>
      <c r="F151" s="33" t="n">
        <v>45025</v>
      </c>
      <c r="G151" s="33" t="n">
        <v>45028</v>
      </c>
      <c r="H151" s="2" t="n">
        <v>1086</v>
      </c>
      <c r="I151" s="2" t="s">
        <v>235</v>
      </c>
      <c r="J151" s="2" t="s">
        <v>229</v>
      </c>
    </row>
    <row r="152" customFormat="false" ht="15" hidden="false" customHeight="false" outlineLevel="0" collapsed="false">
      <c r="A152" s="2" t="s">
        <v>471</v>
      </c>
      <c r="B152" s="2" t="n">
        <v>80</v>
      </c>
      <c r="C152" s="2" t="s">
        <v>224</v>
      </c>
      <c r="D152" s="2" t="s">
        <v>408</v>
      </c>
      <c r="E152" s="2" t="s">
        <v>249</v>
      </c>
      <c r="F152" s="33" t="n">
        <v>45126</v>
      </c>
      <c r="G152" s="33" t="n">
        <v>45127</v>
      </c>
      <c r="H152" s="2" t="n">
        <v>999</v>
      </c>
      <c r="I152" s="2" t="s">
        <v>228</v>
      </c>
      <c r="J152" s="2" t="s">
        <v>256</v>
      </c>
    </row>
    <row r="153" customFormat="false" ht="15" hidden="false" customHeight="false" outlineLevel="0" collapsed="false">
      <c r="A153" s="2" t="s">
        <v>325</v>
      </c>
      <c r="B153" s="2" t="n">
        <v>58</v>
      </c>
      <c r="C153" s="2" t="s">
        <v>224</v>
      </c>
      <c r="D153" s="2" t="s">
        <v>408</v>
      </c>
      <c r="E153" s="2" t="s">
        <v>245</v>
      </c>
      <c r="F153" s="33" t="n">
        <v>45284</v>
      </c>
      <c r="G153" s="33" t="n">
        <v>45287</v>
      </c>
      <c r="H153" s="2" t="n">
        <v>3852</v>
      </c>
      <c r="I153" s="2" t="s">
        <v>228</v>
      </c>
      <c r="J153" s="2" t="s">
        <v>236</v>
      </c>
    </row>
    <row r="154" customFormat="false" ht="15" hidden="false" customHeight="false" outlineLevel="0" collapsed="false">
      <c r="A154" s="2" t="s">
        <v>321</v>
      </c>
      <c r="B154" s="2" t="n">
        <v>48</v>
      </c>
      <c r="C154" s="2" t="s">
        <v>224</v>
      </c>
      <c r="D154" s="2" t="s">
        <v>408</v>
      </c>
      <c r="E154" s="2" t="s">
        <v>255</v>
      </c>
      <c r="F154" s="33" t="n">
        <v>45183</v>
      </c>
      <c r="G154" s="33" t="n">
        <v>45178</v>
      </c>
      <c r="H154" s="2" t="n">
        <v>3852</v>
      </c>
      <c r="I154" s="2" t="s">
        <v>235</v>
      </c>
      <c r="J154" s="2" t="s">
        <v>229</v>
      </c>
    </row>
    <row r="155" customFormat="false" ht="15" hidden="false" customHeight="false" outlineLevel="0" collapsed="false">
      <c r="A155" s="2" t="s">
        <v>475</v>
      </c>
      <c r="B155" s="2" t="n">
        <v>18</v>
      </c>
      <c r="C155" s="2" t="s">
        <v>224</v>
      </c>
      <c r="D155" s="2" t="s">
        <v>408</v>
      </c>
      <c r="E155" s="2" t="s">
        <v>249</v>
      </c>
      <c r="F155" s="33" t="n">
        <v>44995</v>
      </c>
      <c r="G155" s="33" t="n">
        <v>44999</v>
      </c>
      <c r="H155" s="2" t="n">
        <v>3852</v>
      </c>
      <c r="I155" s="2" t="s">
        <v>250</v>
      </c>
      <c r="J155" s="2" t="s">
        <v>229</v>
      </c>
    </row>
    <row r="156" customFormat="false" ht="15" hidden="false" customHeight="false" outlineLevel="0" collapsed="false">
      <c r="A156" s="2" t="s">
        <v>475</v>
      </c>
      <c r="B156" s="2" t="n">
        <v>18</v>
      </c>
      <c r="C156" s="2" t="s">
        <v>224</v>
      </c>
      <c r="D156" s="2" t="s">
        <v>477</v>
      </c>
      <c r="E156" s="2" t="s">
        <v>249</v>
      </c>
      <c r="F156" s="33" t="n">
        <v>44995</v>
      </c>
      <c r="G156" s="33" t="n">
        <v>44999</v>
      </c>
      <c r="H156" s="2" t="n">
        <v>3852</v>
      </c>
      <c r="I156" s="2" t="s">
        <v>250</v>
      </c>
      <c r="J156" s="2" t="s">
        <v>229</v>
      </c>
    </row>
    <row r="157" customFormat="false" ht="15" hidden="false" customHeight="false" outlineLevel="0" collapsed="false">
      <c r="A157" s="2" t="s">
        <v>291</v>
      </c>
      <c r="B157" s="2" t="n">
        <v>30</v>
      </c>
      <c r="C157" s="2" t="s">
        <v>224</v>
      </c>
      <c r="D157" s="2" t="s">
        <v>477</v>
      </c>
      <c r="E157" s="2" t="s">
        <v>249</v>
      </c>
      <c r="F157" s="33" t="n">
        <v>45007</v>
      </c>
      <c r="G157" s="33" t="n">
        <v>45014</v>
      </c>
      <c r="H157" s="2" t="n">
        <v>3852</v>
      </c>
      <c r="I157" s="2" t="s">
        <v>235</v>
      </c>
      <c r="J157" s="2" t="s">
        <v>229</v>
      </c>
    </row>
    <row r="158" customFormat="false" ht="15" hidden="false" customHeight="false" outlineLevel="0" collapsed="false">
      <c r="A158" s="2" t="s">
        <v>343</v>
      </c>
      <c r="B158" s="2" t="n">
        <v>52</v>
      </c>
      <c r="C158" s="2" t="s">
        <v>224</v>
      </c>
      <c r="D158" s="2" t="s">
        <v>477</v>
      </c>
      <c r="E158" s="2" t="s">
        <v>226</v>
      </c>
      <c r="F158" s="33" t="n">
        <v>45059</v>
      </c>
      <c r="G158" s="33" t="n">
        <v>45062</v>
      </c>
      <c r="H158" s="2" t="n">
        <v>3852</v>
      </c>
      <c r="I158" s="2" t="s">
        <v>228</v>
      </c>
      <c r="J158" s="2" t="s">
        <v>229</v>
      </c>
    </row>
    <row r="159" customFormat="false" ht="15" hidden="false" customHeight="false" outlineLevel="0" collapsed="false">
      <c r="A159" s="2" t="s">
        <v>280</v>
      </c>
      <c r="B159" s="2" t="n">
        <v>84</v>
      </c>
      <c r="C159" s="2" t="s">
        <v>224</v>
      </c>
      <c r="D159" s="2" t="s">
        <v>477</v>
      </c>
      <c r="E159" s="2" t="s">
        <v>263</v>
      </c>
      <c r="F159" s="33" t="n">
        <v>44931</v>
      </c>
      <c r="G159" s="33" t="n">
        <v>44936</v>
      </c>
      <c r="H159" s="2" t="n">
        <v>3920</v>
      </c>
      <c r="I159" s="2" t="s">
        <v>250</v>
      </c>
      <c r="J159" s="2" t="s">
        <v>256</v>
      </c>
    </row>
    <row r="160" customFormat="false" ht="15" hidden="false" customHeight="false" outlineLevel="0" collapsed="false">
      <c r="A160" s="2" t="s">
        <v>287</v>
      </c>
      <c r="B160" s="2" t="n">
        <v>81</v>
      </c>
      <c r="C160" s="2" t="s">
        <v>224</v>
      </c>
      <c r="D160" s="2" t="s">
        <v>477</v>
      </c>
      <c r="E160" s="2" t="s">
        <v>249</v>
      </c>
      <c r="F160" s="33" t="n">
        <v>45285</v>
      </c>
      <c r="G160" s="33" t="n">
        <v>45305</v>
      </c>
      <c r="H160" s="2" t="n">
        <v>999</v>
      </c>
      <c r="I160" s="2" t="s">
        <v>228</v>
      </c>
      <c r="J160" s="2" t="s">
        <v>256</v>
      </c>
    </row>
    <row r="161" customFormat="false" ht="15" hidden="false" customHeight="false" outlineLevel="0" collapsed="false">
      <c r="A161" s="2" t="s">
        <v>483</v>
      </c>
      <c r="B161" s="2" t="n">
        <v>83</v>
      </c>
      <c r="C161" s="2" t="s">
        <v>233</v>
      </c>
      <c r="D161" s="2" t="s">
        <v>477</v>
      </c>
      <c r="E161" s="2" t="s">
        <v>263</v>
      </c>
      <c r="F161" s="33" t="n">
        <v>45269</v>
      </c>
      <c r="G161" s="33" t="n">
        <v>45265</v>
      </c>
      <c r="H161" s="2" t="n">
        <v>3852</v>
      </c>
      <c r="I161" s="2" t="s">
        <v>228</v>
      </c>
      <c r="J161" s="2" t="s">
        <v>236</v>
      </c>
    </row>
    <row r="162" customFormat="false" ht="15" hidden="false" customHeight="false" outlineLevel="0" collapsed="false">
      <c r="A162" s="2" t="s">
        <v>454</v>
      </c>
      <c r="B162" s="2" t="n">
        <v>62</v>
      </c>
      <c r="C162" s="2" t="s">
        <v>233</v>
      </c>
      <c r="D162" s="2" t="s">
        <v>477</v>
      </c>
      <c r="E162" s="2" t="s">
        <v>260</v>
      </c>
      <c r="F162" s="33" t="n">
        <v>45206</v>
      </c>
      <c r="G162" s="33" t="n">
        <v>45208</v>
      </c>
      <c r="H162" s="2" t="n">
        <v>3449</v>
      </c>
      <c r="I162" s="2" t="s">
        <v>250</v>
      </c>
      <c r="J162" s="2" t="s">
        <v>236</v>
      </c>
    </row>
    <row r="163" customFormat="false" ht="15" hidden="false" customHeight="false" outlineLevel="0" collapsed="false">
      <c r="A163" s="2" t="s">
        <v>465</v>
      </c>
      <c r="B163" s="2" t="n">
        <v>73</v>
      </c>
      <c r="C163" s="2" t="s">
        <v>224</v>
      </c>
      <c r="D163" s="2" t="s">
        <v>410</v>
      </c>
      <c r="E163" s="2" t="s">
        <v>263</v>
      </c>
      <c r="F163" s="33" t="n">
        <v>44982</v>
      </c>
      <c r="G163" s="33" t="n">
        <v>45003</v>
      </c>
      <c r="H163" s="2" t="n">
        <v>999</v>
      </c>
      <c r="I163" s="2" t="s">
        <v>235</v>
      </c>
      <c r="J163" s="2" t="s">
        <v>256</v>
      </c>
    </row>
    <row r="164" customFormat="false" ht="15" hidden="false" customHeight="false" outlineLevel="0" collapsed="false">
      <c r="A164" s="2" t="s">
        <v>421</v>
      </c>
      <c r="B164" s="2" t="n">
        <v>54</v>
      </c>
      <c r="C164" s="2" t="s">
        <v>233</v>
      </c>
      <c r="D164" s="2" t="s">
        <v>410</v>
      </c>
      <c r="E164" s="2" t="s">
        <v>245</v>
      </c>
      <c r="F164" s="33" t="n">
        <v>45244</v>
      </c>
      <c r="G164" s="33" t="n">
        <v>45252</v>
      </c>
      <c r="H164" s="2" t="n">
        <v>6660</v>
      </c>
      <c r="I164" s="2" t="s">
        <v>235</v>
      </c>
      <c r="J164" s="2" t="s">
        <v>256</v>
      </c>
    </row>
    <row r="165" customFormat="false" ht="15" hidden="false" customHeight="false" outlineLevel="0" collapsed="false">
      <c r="A165" s="2" t="s">
        <v>382</v>
      </c>
      <c r="B165" s="2" t="n">
        <v>77</v>
      </c>
      <c r="C165" s="2" t="s">
        <v>233</v>
      </c>
      <c r="D165" s="2" t="s">
        <v>410</v>
      </c>
      <c r="E165" s="2" t="s">
        <v>255</v>
      </c>
      <c r="F165" s="33" t="n">
        <v>45217</v>
      </c>
      <c r="G165" s="33" t="n">
        <v>45220</v>
      </c>
      <c r="H165" s="2" t="n">
        <v>3852</v>
      </c>
      <c r="I165" s="2" t="s">
        <v>235</v>
      </c>
      <c r="J165" s="2" t="s">
        <v>256</v>
      </c>
    </row>
    <row r="166" customFormat="false" ht="15" hidden="false" customHeight="false" outlineLevel="0" collapsed="false">
      <c r="A166" s="2" t="s">
        <v>272</v>
      </c>
      <c r="B166" s="2" t="n">
        <v>41</v>
      </c>
      <c r="C166" s="2" t="s">
        <v>233</v>
      </c>
      <c r="D166" s="2" t="s">
        <v>410</v>
      </c>
      <c r="E166" s="2" t="s">
        <v>249</v>
      </c>
      <c r="F166" s="33" t="n">
        <v>45125</v>
      </c>
      <c r="G166" s="33" t="n">
        <v>45128</v>
      </c>
      <c r="H166" s="2" t="n">
        <v>999</v>
      </c>
      <c r="I166" s="2" t="s">
        <v>235</v>
      </c>
      <c r="J166" s="2" t="s">
        <v>256</v>
      </c>
    </row>
    <row r="167" customFormat="false" ht="15" hidden="false" customHeight="false" outlineLevel="0" collapsed="false">
      <c r="A167" s="2" t="s">
        <v>358</v>
      </c>
      <c r="B167" s="2" t="n">
        <v>73</v>
      </c>
      <c r="C167" s="2" t="s">
        <v>233</v>
      </c>
      <c r="D167" s="2" t="s">
        <v>410</v>
      </c>
      <c r="E167" s="2" t="s">
        <v>226</v>
      </c>
      <c r="F167" s="33" t="n">
        <v>45083</v>
      </c>
      <c r="G167" s="33" t="n">
        <v>45084</v>
      </c>
      <c r="H167" s="2" t="n">
        <v>1536</v>
      </c>
      <c r="I167" s="2" t="s">
        <v>250</v>
      </c>
      <c r="J167" s="2" t="s">
        <v>236</v>
      </c>
    </row>
    <row r="168" customFormat="false" ht="15" hidden="false" customHeight="false" outlineLevel="0" collapsed="false">
      <c r="A168" s="2" t="s">
        <v>327</v>
      </c>
      <c r="B168" s="2" t="n">
        <v>89</v>
      </c>
      <c r="C168" s="2" t="s">
        <v>233</v>
      </c>
      <c r="D168" s="2" t="s">
        <v>410</v>
      </c>
      <c r="E168" s="2" t="s">
        <v>226</v>
      </c>
      <c r="F168" s="33" t="n">
        <v>44936</v>
      </c>
      <c r="G168" s="33" t="n">
        <v>44949</v>
      </c>
      <c r="H168" s="2" t="n">
        <v>3852</v>
      </c>
      <c r="I168" s="2" t="s">
        <v>250</v>
      </c>
      <c r="J168" s="2" t="s">
        <v>229</v>
      </c>
    </row>
    <row r="169" customFormat="false" ht="15" hidden="false" customHeight="false" outlineLevel="0" collapsed="false">
      <c r="A169" s="2" t="s">
        <v>352</v>
      </c>
      <c r="B169" s="2" t="n">
        <v>66</v>
      </c>
      <c r="C169" s="2" t="s">
        <v>233</v>
      </c>
      <c r="D169" s="2" t="s">
        <v>275</v>
      </c>
      <c r="E169" s="2" t="s">
        <v>249</v>
      </c>
      <c r="F169" s="33" t="n">
        <v>45060</v>
      </c>
      <c r="G169" s="33" t="n">
        <v>45063</v>
      </c>
      <c r="H169" s="2" t="n">
        <v>3852</v>
      </c>
      <c r="I169" s="2" t="s">
        <v>228</v>
      </c>
      <c r="J169" s="2" t="s">
        <v>229</v>
      </c>
    </row>
    <row r="170" customFormat="false" ht="15" hidden="false" customHeight="false" outlineLevel="0" collapsed="false">
      <c r="A170" s="2" t="s">
        <v>493</v>
      </c>
      <c r="B170" s="2" t="n">
        <v>13</v>
      </c>
      <c r="C170" s="2" t="s">
        <v>233</v>
      </c>
      <c r="D170" s="2" t="s">
        <v>275</v>
      </c>
      <c r="E170" s="2" t="s">
        <v>260</v>
      </c>
      <c r="F170" s="33" t="n">
        <v>44932</v>
      </c>
      <c r="G170" s="33" t="n">
        <v>44936</v>
      </c>
      <c r="H170" s="2" t="n">
        <v>999</v>
      </c>
      <c r="I170" s="2" t="s">
        <v>235</v>
      </c>
      <c r="J170" s="2" t="s">
        <v>256</v>
      </c>
    </row>
    <row r="171" customFormat="false" ht="15" hidden="false" customHeight="false" outlineLevel="0" collapsed="false">
      <c r="A171" s="2" t="s">
        <v>345</v>
      </c>
      <c r="B171" s="2" t="n">
        <v>13</v>
      </c>
      <c r="C171" s="2" t="s">
        <v>224</v>
      </c>
      <c r="D171" s="2" t="s">
        <v>275</v>
      </c>
      <c r="E171" s="2" t="s">
        <v>255</v>
      </c>
      <c r="F171" s="33" t="n">
        <v>45202</v>
      </c>
      <c r="G171" s="33" t="n">
        <v>45205</v>
      </c>
      <c r="H171" s="2" t="n">
        <v>3852</v>
      </c>
      <c r="I171" s="2" t="s">
        <v>250</v>
      </c>
      <c r="J171" s="2" t="s">
        <v>236</v>
      </c>
    </row>
    <row r="172" customFormat="false" ht="15" hidden="false" customHeight="false" outlineLevel="0" collapsed="false">
      <c r="A172" s="2" t="s">
        <v>354</v>
      </c>
      <c r="B172" s="2" t="n">
        <v>68</v>
      </c>
      <c r="C172" s="2" t="s">
        <v>224</v>
      </c>
      <c r="D172" s="2" t="s">
        <v>275</v>
      </c>
      <c r="E172" s="2" t="s">
        <v>260</v>
      </c>
      <c r="F172" s="33" t="n">
        <v>45089</v>
      </c>
      <c r="G172" s="33" t="n">
        <v>45098</v>
      </c>
      <c r="H172" s="2" t="n">
        <v>999</v>
      </c>
      <c r="I172" s="2" t="s">
        <v>235</v>
      </c>
      <c r="J172" s="2" t="s">
        <v>236</v>
      </c>
    </row>
    <row r="173" customFormat="false" ht="15" hidden="false" customHeight="false" outlineLevel="0" collapsed="false">
      <c r="A173" s="2" t="s">
        <v>497</v>
      </c>
      <c r="B173" s="2" t="n">
        <v>89</v>
      </c>
      <c r="C173" s="2" t="s">
        <v>224</v>
      </c>
      <c r="D173" s="2" t="s">
        <v>275</v>
      </c>
      <c r="E173" s="2" t="s">
        <v>260</v>
      </c>
      <c r="F173" s="33" t="n">
        <v>45130</v>
      </c>
      <c r="G173" s="33" t="n">
        <v>45131</v>
      </c>
      <c r="H173" s="2" t="n">
        <v>3852</v>
      </c>
      <c r="I173" s="2" t="s">
        <v>228</v>
      </c>
      <c r="J173" s="2" t="s">
        <v>256</v>
      </c>
    </row>
    <row r="174" customFormat="false" ht="15" hidden="false" customHeight="false" outlineLevel="0" collapsed="false">
      <c r="A174" s="2" t="s">
        <v>310</v>
      </c>
      <c r="B174" s="2" t="n">
        <v>82</v>
      </c>
      <c r="C174" s="2" t="s">
        <v>233</v>
      </c>
      <c r="D174" s="2" t="s">
        <v>275</v>
      </c>
      <c r="E174" s="2" t="s">
        <v>263</v>
      </c>
      <c r="F174" s="33" t="n">
        <v>45187</v>
      </c>
      <c r="G174" s="33" t="n">
        <v>45193</v>
      </c>
      <c r="H174" s="2" t="n">
        <v>3852</v>
      </c>
      <c r="I174" s="2" t="s">
        <v>250</v>
      </c>
      <c r="J174" s="2" t="s">
        <v>229</v>
      </c>
    </row>
    <row r="175" customFormat="false" ht="15" hidden="false" customHeight="false" outlineLevel="0" collapsed="false">
      <c r="A175" s="2" t="s">
        <v>303</v>
      </c>
      <c r="B175" s="2" t="n">
        <v>29</v>
      </c>
      <c r="C175" s="2" t="s">
        <v>233</v>
      </c>
      <c r="D175" s="2" t="s">
        <v>275</v>
      </c>
      <c r="E175" s="2" t="s">
        <v>260</v>
      </c>
      <c r="F175" s="33" t="n">
        <v>45062</v>
      </c>
      <c r="G175" s="33" t="n">
        <v>45083</v>
      </c>
      <c r="H175" s="2" t="n">
        <v>3852</v>
      </c>
      <c r="I175" s="2" t="s">
        <v>250</v>
      </c>
      <c r="J175" s="2" t="s">
        <v>229</v>
      </c>
    </row>
    <row r="176" customFormat="false" ht="15" hidden="false" customHeight="false" outlineLevel="0" collapsed="false">
      <c r="A176" s="2" t="s">
        <v>501</v>
      </c>
      <c r="B176" s="2" t="n">
        <v>58</v>
      </c>
      <c r="C176" s="2" t="s">
        <v>224</v>
      </c>
      <c r="D176" s="2" t="s">
        <v>275</v>
      </c>
      <c r="E176" s="2" t="s">
        <v>260</v>
      </c>
      <c r="F176" s="33" t="n">
        <v>44976</v>
      </c>
      <c r="G176" s="33" t="n">
        <v>44996</v>
      </c>
      <c r="H176" s="2" t="n">
        <v>3852</v>
      </c>
      <c r="I176" s="2" t="s">
        <v>235</v>
      </c>
      <c r="J176" s="2" t="s">
        <v>229</v>
      </c>
    </row>
    <row r="177" customFormat="false" ht="15" hidden="false" customHeight="false" outlineLevel="0" collapsed="false">
      <c r="A177" s="2" t="s">
        <v>454</v>
      </c>
      <c r="B177" s="2" t="n">
        <v>77</v>
      </c>
      <c r="C177" s="2" t="s">
        <v>224</v>
      </c>
      <c r="D177" s="2" t="s">
        <v>275</v>
      </c>
      <c r="E177" s="2" t="s">
        <v>249</v>
      </c>
      <c r="F177" s="33" t="n">
        <v>45060</v>
      </c>
      <c r="G177" s="33" t="n">
        <v>45065</v>
      </c>
      <c r="H177" s="2" t="n">
        <v>999</v>
      </c>
      <c r="I177" s="2" t="s">
        <v>235</v>
      </c>
      <c r="J177" s="2" t="s">
        <v>229</v>
      </c>
    </row>
    <row r="178" customFormat="false" ht="15" hidden="false" customHeight="false" outlineLevel="0" collapsed="false">
      <c r="A178" s="2" t="s">
        <v>358</v>
      </c>
      <c r="B178" s="2" t="n">
        <v>43</v>
      </c>
      <c r="C178" s="2" t="s">
        <v>224</v>
      </c>
      <c r="D178" s="2" t="s">
        <v>275</v>
      </c>
      <c r="E178" s="2" t="s">
        <v>245</v>
      </c>
      <c r="F178" s="33" t="n">
        <v>45028</v>
      </c>
      <c r="G178" s="33" t="n">
        <v>45030</v>
      </c>
      <c r="H178" s="2" t="n">
        <v>2213</v>
      </c>
      <c r="I178" s="2" t="s">
        <v>250</v>
      </c>
      <c r="J178" s="2" t="s">
        <v>229</v>
      </c>
    </row>
    <row r="179" customFormat="false" ht="15" hidden="false" customHeight="false" outlineLevel="0" collapsed="false">
      <c r="A179" s="2" t="s">
        <v>310</v>
      </c>
      <c r="B179" s="2" t="n">
        <v>50</v>
      </c>
      <c r="C179" s="2" t="s">
        <v>233</v>
      </c>
      <c r="D179" s="2" t="s">
        <v>275</v>
      </c>
      <c r="E179" s="2" t="s">
        <v>249</v>
      </c>
      <c r="F179" s="33" t="n">
        <v>45245</v>
      </c>
      <c r="G179" s="33" t="n">
        <v>45257</v>
      </c>
      <c r="H179" s="2" t="n">
        <v>999</v>
      </c>
      <c r="I179" s="2" t="s">
        <v>228</v>
      </c>
      <c r="J179" s="2" t="s">
        <v>236</v>
      </c>
    </row>
    <row r="180" customFormat="false" ht="15" hidden="false" customHeight="false" outlineLevel="0" collapsed="false">
      <c r="A180" s="2" t="s">
        <v>280</v>
      </c>
      <c r="B180" s="2" t="n">
        <v>36</v>
      </c>
      <c r="C180" s="2" t="s">
        <v>224</v>
      </c>
      <c r="D180" s="2" t="s">
        <v>275</v>
      </c>
      <c r="E180" s="2" t="s">
        <v>226</v>
      </c>
      <c r="F180" s="33" t="n">
        <v>45112</v>
      </c>
      <c r="G180" s="33" t="n">
        <v>45110</v>
      </c>
      <c r="H180" s="2" t="n">
        <v>999</v>
      </c>
      <c r="I180" s="2" t="s">
        <v>228</v>
      </c>
      <c r="J180" s="2" t="s">
        <v>229</v>
      </c>
    </row>
    <row r="181" customFormat="false" ht="15" hidden="false" customHeight="false" outlineLevel="0" collapsed="false">
      <c r="A181" s="2" t="s">
        <v>421</v>
      </c>
      <c r="B181" s="2" t="n">
        <v>36</v>
      </c>
      <c r="C181" s="2" t="s">
        <v>224</v>
      </c>
      <c r="D181" s="2" t="s">
        <v>275</v>
      </c>
      <c r="E181" s="2" t="s">
        <v>240</v>
      </c>
      <c r="F181" s="33" t="n">
        <v>45134</v>
      </c>
      <c r="G181" s="33" t="n">
        <v>45136</v>
      </c>
      <c r="H181" s="2" t="n">
        <v>3852</v>
      </c>
      <c r="I181" s="2" t="s">
        <v>235</v>
      </c>
      <c r="J181" s="2" t="s">
        <v>229</v>
      </c>
    </row>
    <row r="182" customFormat="false" ht="15" hidden="false" customHeight="false" outlineLevel="0" collapsed="false">
      <c r="A182" s="2" t="s">
        <v>223</v>
      </c>
      <c r="B182" s="2" t="n">
        <v>24</v>
      </c>
      <c r="C182" s="2" t="s">
        <v>224</v>
      </c>
      <c r="D182" s="2" t="s">
        <v>275</v>
      </c>
      <c r="E182" s="2" t="s">
        <v>260</v>
      </c>
      <c r="F182" s="33" t="n">
        <v>45194</v>
      </c>
      <c r="G182" s="33" t="n">
        <v>45192</v>
      </c>
      <c r="H182" s="2" t="n">
        <v>999</v>
      </c>
      <c r="I182" s="2" t="s">
        <v>235</v>
      </c>
      <c r="J182" s="2" t="s">
        <v>229</v>
      </c>
    </row>
    <row r="183" customFormat="false" ht="15" hidden="false" customHeight="false" outlineLevel="0" collapsed="false">
      <c r="A183" s="2" t="s">
        <v>509</v>
      </c>
      <c r="B183" s="2" t="n">
        <v>55</v>
      </c>
      <c r="C183" s="2" t="s">
        <v>233</v>
      </c>
      <c r="D183" s="2" t="s">
        <v>275</v>
      </c>
      <c r="E183" s="2" t="s">
        <v>245</v>
      </c>
      <c r="F183" s="33" t="n">
        <v>44991</v>
      </c>
      <c r="G183" s="33" t="n">
        <v>44997</v>
      </c>
      <c r="H183" s="2" t="n">
        <v>1208</v>
      </c>
      <c r="I183" s="2" t="s">
        <v>228</v>
      </c>
      <c r="J183" s="2" t="s">
        <v>256</v>
      </c>
    </row>
    <row r="184" customFormat="false" ht="15" hidden="false" customHeight="false" outlineLevel="0" collapsed="false">
      <c r="A184" s="2" t="s">
        <v>238</v>
      </c>
      <c r="B184" s="2" t="n">
        <v>68</v>
      </c>
      <c r="C184" s="2" t="s">
        <v>224</v>
      </c>
      <c r="D184" s="2" t="s">
        <v>275</v>
      </c>
      <c r="E184" s="2" t="s">
        <v>260</v>
      </c>
      <c r="F184" s="33" t="n">
        <v>45056</v>
      </c>
      <c r="G184" s="33" t="n">
        <v>45059</v>
      </c>
      <c r="H184" s="2" t="n">
        <v>999</v>
      </c>
      <c r="I184" s="2" t="s">
        <v>250</v>
      </c>
      <c r="J184" s="2" t="s">
        <v>236</v>
      </c>
    </row>
    <row r="185" customFormat="false" ht="15" hidden="false" customHeight="false" outlineLevel="0" collapsed="false">
      <c r="A185" s="2" t="s">
        <v>379</v>
      </c>
      <c r="B185" s="2" t="n">
        <v>86</v>
      </c>
      <c r="C185" s="2" t="s">
        <v>224</v>
      </c>
      <c r="D185" s="2" t="s">
        <v>275</v>
      </c>
      <c r="E185" s="2" t="s">
        <v>255</v>
      </c>
      <c r="F185" s="33" t="n">
        <v>45197</v>
      </c>
      <c r="G185" s="33" t="n">
        <v>45199</v>
      </c>
      <c r="H185" s="2" t="n">
        <v>1684</v>
      </c>
      <c r="I185" s="2" t="s">
        <v>250</v>
      </c>
      <c r="J185" s="2" t="s">
        <v>236</v>
      </c>
    </row>
    <row r="186" customFormat="false" ht="15" hidden="false" customHeight="false" outlineLevel="0" collapsed="false">
      <c r="A186" s="2" t="s">
        <v>509</v>
      </c>
      <c r="B186" s="2" t="n">
        <v>89</v>
      </c>
      <c r="C186" s="2" t="s">
        <v>224</v>
      </c>
      <c r="D186" s="2" t="s">
        <v>275</v>
      </c>
      <c r="E186" s="2" t="s">
        <v>260</v>
      </c>
      <c r="F186" s="33" t="n">
        <v>45111</v>
      </c>
      <c r="G186" s="33" t="n">
        <v>45114</v>
      </c>
      <c r="H186" s="2" t="n">
        <v>999</v>
      </c>
      <c r="I186" s="2" t="s">
        <v>250</v>
      </c>
      <c r="J186" s="2" t="s">
        <v>236</v>
      </c>
    </row>
    <row r="187" customFormat="false" ht="15" hidden="false" customHeight="false" outlineLevel="0" collapsed="false">
      <c r="A187" s="2" t="s">
        <v>475</v>
      </c>
      <c r="B187" s="2" t="n">
        <v>90</v>
      </c>
      <c r="C187" s="2" t="s">
        <v>233</v>
      </c>
      <c r="D187" s="2" t="s">
        <v>275</v>
      </c>
      <c r="E187" s="2" t="s">
        <v>226</v>
      </c>
      <c r="F187" s="33" t="n">
        <v>45211</v>
      </c>
      <c r="G187" s="33" t="n">
        <v>45221</v>
      </c>
      <c r="H187" s="2" t="n">
        <v>3852</v>
      </c>
      <c r="I187" s="2" t="s">
        <v>228</v>
      </c>
      <c r="J187" s="2" t="s">
        <v>229</v>
      </c>
    </row>
    <row r="188" customFormat="false" ht="15" hidden="false" customHeight="false" outlineLevel="0" collapsed="false">
      <c r="A188" s="2" t="s">
        <v>280</v>
      </c>
      <c r="B188" s="2" t="n">
        <v>57</v>
      </c>
      <c r="C188" s="2" t="s">
        <v>224</v>
      </c>
      <c r="D188" s="2" t="s">
        <v>275</v>
      </c>
      <c r="E188" s="2" t="s">
        <v>263</v>
      </c>
      <c r="F188" s="33" t="n">
        <v>44929</v>
      </c>
      <c r="G188" s="33" t="n">
        <v>44926</v>
      </c>
      <c r="H188" s="2" t="n">
        <v>999</v>
      </c>
      <c r="I188" s="2" t="s">
        <v>235</v>
      </c>
      <c r="J188" s="2" t="s">
        <v>256</v>
      </c>
    </row>
    <row r="189" customFormat="false" ht="15" hidden="false" customHeight="false" outlineLevel="0" collapsed="false">
      <c r="A189" s="2" t="s">
        <v>293</v>
      </c>
      <c r="B189" s="2" t="n">
        <v>79</v>
      </c>
      <c r="C189" s="2" t="s">
        <v>224</v>
      </c>
      <c r="D189" s="2" t="s">
        <v>275</v>
      </c>
      <c r="E189" s="2" t="s">
        <v>245</v>
      </c>
      <c r="F189" s="33" t="n">
        <v>44932</v>
      </c>
      <c r="G189" s="33" t="n">
        <v>44936</v>
      </c>
      <c r="H189" s="2" t="n">
        <v>999</v>
      </c>
      <c r="I189" s="2" t="s">
        <v>250</v>
      </c>
      <c r="J189" s="2" t="s">
        <v>229</v>
      </c>
    </row>
    <row r="190" customFormat="false" ht="15" hidden="false" customHeight="false" outlineLevel="0" collapsed="false">
      <c r="A190" s="2" t="s">
        <v>259</v>
      </c>
      <c r="B190" s="2" t="n">
        <v>19</v>
      </c>
      <c r="C190" s="2" t="s">
        <v>224</v>
      </c>
      <c r="D190" s="2" t="s">
        <v>275</v>
      </c>
      <c r="E190" s="2" t="s">
        <v>240</v>
      </c>
      <c r="F190" s="33" t="n">
        <v>45266</v>
      </c>
      <c r="G190" s="33" t="n">
        <v>45269</v>
      </c>
      <c r="H190" s="2" t="n">
        <v>999</v>
      </c>
      <c r="I190" s="2" t="s">
        <v>228</v>
      </c>
      <c r="J190" s="2" t="s">
        <v>256</v>
      </c>
    </row>
    <row r="191" customFormat="false" ht="15" hidden="false" customHeight="false" outlineLevel="0" collapsed="false">
      <c r="A191" s="2" t="s">
        <v>362</v>
      </c>
      <c r="B191" s="2" t="n">
        <v>78</v>
      </c>
      <c r="C191" s="2" t="s">
        <v>233</v>
      </c>
      <c r="D191" s="2" t="s">
        <v>275</v>
      </c>
      <c r="E191" s="2" t="s">
        <v>260</v>
      </c>
      <c r="F191" s="33" t="n">
        <v>45146</v>
      </c>
      <c r="G191" s="33" t="n">
        <v>45167</v>
      </c>
      <c r="H191" s="2" t="n">
        <v>999</v>
      </c>
      <c r="I191" s="2" t="s">
        <v>235</v>
      </c>
      <c r="J191" s="2" t="s">
        <v>256</v>
      </c>
    </row>
    <row r="192" customFormat="false" ht="15" hidden="false" customHeight="false" outlineLevel="0" collapsed="false">
      <c r="A192" s="2" t="s">
        <v>262</v>
      </c>
      <c r="B192" s="2" t="n">
        <v>33</v>
      </c>
      <c r="C192" s="2" t="s">
        <v>233</v>
      </c>
      <c r="D192" s="2" t="s">
        <v>275</v>
      </c>
      <c r="E192" s="2" t="s">
        <v>226</v>
      </c>
      <c r="F192" s="33" t="n">
        <v>45264</v>
      </c>
      <c r="G192" s="33" t="n">
        <v>45272</v>
      </c>
      <c r="H192" s="2" t="n">
        <v>999</v>
      </c>
      <c r="I192" s="2" t="s">
        <v>228</v>
      </c>
      <c r="J192" s="2" t="s">
        <v>256</v>
      </c>
    </row>
    <row r="193" customFormat="false" ht="15" hidden="false" customHeight="false" outlineLevel="0" collapsed="false">
      <c r="A193" s="2" t="s">
        <v>471</v>
      </c>
      <c r="B193" s="2" t="n">
        <v>83</v>
      </c>
      <c r="C193" s="2" t="s">
        <v>224</v>
      </c>
      <c r="D193" s="2" t="s">
        <v>275</v>
      </c>
      <c r="E193" s="2" t="s">
        <v>249</v>
      </c>
      <c r="F193" s="33" t="n">
        <v>45286</v>
      </c>
      <c r="G193" s="33" t="n">
        <v>45296</v>
      </c>
      <c r="H193" s="2" t="n">
        <v>3852</v>
      </c>
      <c r="I193" s="2" t="s">
        <v>228</v>
      </c>
      <c r="J193" s="2" t="s">
        <v>236</v>
      </c>
    </row>
    <row r="194" customFormat="false" ht="15" hidden="false" customHeight="false" outlineLevel="0" collapsed="false">
      <c r="A194" s="2" t="s">
        <v>244</v>
      </c>
      <c r="B194" s="2" t="n">
        <v>90</v>
      </c>
      <c r="C194" s="2" t="s">
        <v>224</v>
      </c>
      <c r="D194" s="2" t="s">
        <v>275</v>
      </c>
      <c r="E194" s="2" t="s">
        <v>249</v>
      </c>
      <c r="F194" s="33" t="n">
        <v>45206</v>
      </c>
      <c r="G194" s="33" t="n">
        <v>45207</v>
      </c>
      <c r="H194" s="2" t="n">
        <v>999</v>
      </c>
      <c r="I194" s="2" t="s">
        <v>235</v>
      </c>
      <c r="J194" s="2" t="s">
        <v>256</v>
      </c>
    </row>
    <row r="195" customFormat="false" ht="15" hidden="false" customHeight="false" outlineLevel="0" collapsed="false">
      <c r="A195" s="2" t="s">
        <v>352</v>
      </c>
      <c r="B195" s="2" t="n">
        <v>56</v>
      </c>
      <c r="C195" s="2" t="s">
        <v>224</v>
      </c>
      <c r="D195" s="2" t="s">
        <v>477</v>
      </c>
      <c r="E195" s="2" t="s">
        <v>245</v>
      </c>
      <c r="F195" s="33" t="n">
        <v>44949</v>
      </c>
      <c r="G195" s="33" t="n">
        <v>44954</v>
      </c>
      <c r="H195" s="2" t="n">
        <v>999</v>
      </c>
      <c r="I195" s="2" t="s">
        <v>235</v>
      </c>
      <c r="J195" s="2" t="s">
        <v>236</v>
      </c>
    </row>
    <row r="196" customFormat="false" ht="15" hidden="false" customHeight="false" outlineLevel="0" collapsed="false">
      <c r="A196" s="2" t="s">
        <v>244</v>
      </c>
      <c r="B196" s="2" t="n">
        <v>8</v>
      </c>
      <c r="C196" s="2" t="s">
        <v>224</v>
      </c>
      <c r="D196" s="2" t="s">
        <v>477</v>
      </c>
      <c r="E196" s="2" t="s">
        <v>245</v>
      </c>
      <c r="F196" s="33" t="n">
        <v>45062</v>
      </c>
      <c r="G196" s="33" t="n">
        <v>45064</v>
      </c>
      <c r="H196" s="2" t="n">
        <v>3852</v>
      </c>
      <c r="I196" s="2" t="s">
        <v>235</v>
      </c>
      <c r="J196" s="2" t="s">
        <v>236</v>
      </c>
    </row>
    <row r="197" customFormat="false" ht="15" hidden="false" customHeight="false" outlineLevel="0" collapsed="false">
      <c r="A197" s="2" t="s">
        <v>384</v>
      </c>
      <c r="B197" s="2" t="n">
        <v>59</v>
      </c>
      <c r="C197" s="2" t="s">
        <v>233</v>
      </c>
      <c r="D197" s="2" t="s">
        <v>477</v>
      </c>
      <c r="E197" s="2" t="s">
        <v>260</v>
      </c>
      <c r="F197" s="33" t="n">
        <v>45029</v>
      </c>
      <c r="G197" s="33" t="n">
        <v>45031</v>
      </c>
      <c r="H197" s="2" t="n">
        <v>3852</v>
      </c>
      <c r="I197" s="2" t="s">
        <v>228</v>
      </c>
      <c r="J197" s="2" t="s">
        <v>229</v>
      </c>
    </row>
    <row r="198" customFormat="false" ht="15" hidden="false" customHeight="false" outlineLevel="0" collapsed="false">
      <c r="A198" s="2" t="s">
        <v>259</v>
      </c>
      <c r="B198" s="2" t="n">
        <v>31</v>
      </c>
      <c r="C198" s="2" t="s">
        <v>233</v>
      </c>
      <c r="D198" s="2" t="s">
        <v>477</v>
      </c>
      <c r="E198" s="2" t="s">
        <v>245</v>
      </c>
      <c r="F198" s="33" t="n">
        <v>45203</v>
      </c>
      <c r="G198" s="33" t="n">
        <v>45224</v>
      </c>
      <c r="H198" s="2" t="n">
        <v>999</v>
      </c>
      <c r="I198" s="2" t="s">
        <v>250</v>
      </c>
      <c r="J198" s="2" t="s">
        <v>229</v>
      </c>
    </row>
    <row r="199" customFormat="false" ht="15" hidden="false" customHeight="false" outlineLevel="0" collapsed="false">
      <c r="A199" s="2" t="s">
        <v>298</v>
      </c>
      <c r="B199" s="2" t="n">
        <v>8</v>
      </c>
      <c r="C199" s="2" t="s">
        <v>224</v>
      </c>
      <c r="D199" s="2" t="s">
        <v>477</v>
      </c>
      <c r="E199" s="2" t="s">
        <v>263</v>
      </c>
      <c r="F199" s="33" t="n">
        <v>45103</v>
      </c>
      <c r="G199" s="33" t="n">
        <v>45109</v>
      </c>
      <c r="H199" s="2" t="n">
        <v>999</v>
      </c>
      <c r="I199" s="2" t="s">
        <v>235</v>
      </c>
      <c r="J199" s="2" t="s">
        <v>229</v>
      </c>
    </row>
    <row r="200" customFormat="false" ht="15" hidden="false" customHeight="false" outlineLevel="0" collapsed="false">
      <c r="A200" s="2" t="s">
        <v>475</v>
      </c>
      <c r="B200" s="2" t="n">
        <v>67</v>
      </c>
      <c r="C200" s="2" t="s">
        <v>224</v>
      </c>
      <c r="D200" s="2" t="s">
        <v>477</v>
      </c>
      <c r="E200" s="2" t="s">
        <v>263</v>
      </c>
      <c r="F200" s="33" t="n">
        <v>45221</v>
      </c>
      <c r="G200" s="33" t="n">
        <v>45223</v>
      </c>
      <c r="H200" s="2" t="n">
        <v>999</v>
      </c>
      <c r="I200" s="2" t="s">
        <v>250</v>
      </c>
      <c r="J200" s="2" t="s">
        <v>229</v>
      </c>
    </row>
    <row r="201" customFormat="false" ht="15" hidden="false" customHeight="false" outlineLevel="0" collapsed="false">
      <c r="A201" s="2" t="s">
        <v>362</v>
      </c>
      <c r="B201" s="2" t="n">
        <v>16</v>
      </c>
      <c r="C201" s="2" t="s">
        <v>224</v>
      </c>
      <c r="D201" s="2" t="s">
        <v>477</v>
      </c>
      <c r="E201" s="2" t="s">
        <v>226</v>
      </c>
      <c r="F201" s="33" t="n">
        <v>44963</v>
      </c>
      <c r="G201" s="33" t="n">
        <v>44966</v>
      </c>
      <c r="H201" s="2" t="n">
        <v>3852</v>
      </c>
      <c r="I201" s="2" t="s">
        <v>250</v>
      </c>
      <c r="J201" s="2" t="s">
        <v>229</v>
      </c>
    </row>
    <row r="202" customFormat="false" ht="15" hidden="false" customHeight="false" outlineLevel="0" collapsed="false">
      <c r="A202" s="2" t="s">
        <v>352</v>
      </c>
      <c r="B202" s="2" t="n">
        <v>5</v>
      </c>
      <c r="C202" s="2" t="s">
        <v>233</v>
      </c>
      <c r="D202" s="2" t="s">
        <v>477</v>
      </c>
      <c r="E202" s="2" t="s">
        <v>226</v>
      </c>
      <c r="F202" s="33" t="n">
        <v>45030</v>
      </c>
      <c r="G202" s="33" t="n">
        <v>45033</v>
      </c>
      <c r="H202" s="2" t="n">
        <v>999</v>
      </c>
      <c r="I202" s="2" t="s">
        <v>250</v>
      </c>
      <c r="J202" s="2" t="s">
        <v>236</v>
      </c>
    </row>
    <row r="203" customFormat="false" ht="15" hidden="false" customHeight="false" outlineLevel="0" collapsed="false">
      <c r="A203" s="2" t="s">
        <v>323</v>
      </c>
      <c r="B203" s="2" t="n">
        <v>40</v>
      </c>
      <c r="C203" s="2" t="s">
        <v>224</v>
      </c>
      <c r="D203" s="2" t="s">
        <v>410</v>
      </c>
      <c r="E203" s="2" t="s">
        <v>255</v>
      </c>
      <c r="F203" s="33" t="n">
        <v>45080</v>
      </c>
      <c r="G203" s="33" t="n">
        <v>45077</v>
      </c>
      <c r="H203" s="2" t="n">
        <v>3852</v>
      </c>
      <c r="I203" s="2" t="s">
        <v>228</v>
      </c>
      <c r="J203" s="2" t="s">
        <v>236</v>
      </c>
    </row>
    <row r="204" customFormat="false" ht="15" hidden="false" customHeight="false" outlineLevel="0" collapsed="false">
      <c r="A204" s="2" t="s">
        <v>509</v>
      </c>
      <c r="B204" s="2" t="n">
        <v>9</v>
      </c>
      <c r="C204" s="2" t="s">
        <v>224</v>
      </c>
      <c r="D204" s="2" t="s">
        <v>403</v>
      </c>
      <c r="E204" s="2" t="s">
        <v>260</v>
      </c>
      <c r="F204" s="33" t="n">
        <v>45083</v>
      </c>
      <c r="G204" s="33" t="n">
        <v>45085</v>
      </c>
      <c r="H204" s="2" t="n">
        <v>4644</v>
      </c>
      <c r="I204" s="2" t="s">
        <v>235</v>
      </c>
      <c r="J204" s="2" t="s">
        <v>236</v>
      </c>
    </row>
    <row r="205" customFormat="false" ht="15" hidden="false" customHeight="false" outlineLevel="0" collapsed="false">
      <c r="A205" s="2" t="s">
        <v>362</v>
      </c>
      <c r="B205" s="2" t="n">
        <v>21</v>
      </c>
      <c r="C205" s="2" t="s">
        <v>233</v>
      </c>
      <c r="D205" s="2" t="s">
        <v>403</v>
      </c>
      <c r="E205" s="2" t="s">
        <v>226</v>
      </c>
      <c r="F205" s="33" t="n">
        <v>44994</v>
      </c>
      <c r="G205" s="33" t="n">
        <v>44998</v>
      </c>
      <c r="H205" s="2" t="n">
        <v>3852</v>
      </c>
      <c r="I205" s="2" t="s">
        <v>228</v>
      </c>
      <c r="J205" s="2" t="s">
        <v>236</v>
      </c>
    </row>
    <row r="206" customFormat="false" ht="15" hidden="false" customHeight="false" outlineLevel="0" collapsed="false">
      <c r="A206" s="2" t="s">
        <v>509</v>
      </c>
      <c r="B206" s="2" t="n">
        <v>1</v>
      </c>
      <c r="C206" s="2" t="s">
        <v>233</v>
      </c>
      <c r="D206" s="2" t="s">
        <v>403</v>
      </c>
      <c r="E206" s="2" t="s">
        <v>260</v>
      </c>
      <c r="F206" s="33" t="n">
        <v>45212</v>
      </c>
      <c r="G206" s="33" t="n">
        <v>45211</v>
      </c>
      <c r="H206" s="2" t="n">
        <v>3852</v>
      </c>
      <c r="I206" s="2" t="s">
        <v>250</v>
      </c>
      <c r="J206" s="2" t="s">
        <v>256</v>
      </c>
    </row>
    <row r="207" customFormat="false" ht="15" hidden="false" customHeight="false" outlineLevel="0" collapsed="false">
      <c r="A207" s="2" t="s">
        <v>368</v>
      </c>
      <c r="B207" s="2" t="n">
        <v>70</v>
      </c>
      <c r="C207" s="2" t="s">
        <v>233</v>
      </c>
      <c r="D207" s="2" t="s">
        <v>403</v>
      </c>
      <c r="E207" s="2" t="s">
        <v>240</v>
      </c>
      <c r="F207" s="33" t="n">
        <v>44941</v>
      </c>
      <c r="G207" s="33" t="n">
        <v>44943</v>
      </c>
      <c r="H207" s="2" t="n">
        <v>999</v>
      </c>
      <c r="I207" s="2" t="s">
        <v>235</v>
      </c>
      <c r="J207" s="2" t="s">
        <v>256</v>
      </c>
    </row>
    <row r="208" customFormat="false" ht="15" hidden="false" customHeight="false" outlineLevel="0" collapsed="false">
      <c r="A208" s="2" t="s">
        <v>535</v>
      </c>
      <c r="B208" s="2" t="n">
        <v>63</v>
      </c>
      <c r="C208" s="2" t="s">
        <v>224</v>
      </c>
      <c r="D208" s="2" t="s">
        <v>403</v>
      </c>
      <c r="E208" s="2" t="s">
        <v>245</v>
      </c>
      <c r="F208" s="33" t="n">
        <v>45158</v>
      </c>
      <c r="G208" s="33" t="n">
        <v>45161</v>
      </c>
      <c r="H208" s="2" t="n">
        <v>3852</v>
      </c>
      <c r="I208" s="2" t="s">
        <v>250</v>
      </c>
      <c r="J208" s="2" t="s">
        <v>256</v>
      </c>
    </row>
    <row r="209" customFormat="false" ht="15" hidden="false" customHeight="false" outlineLevel="0" collapsed="false">
      <c r="A209" s="2" t="s">
        <v>238</v>
      </c>
      <c r="B209" s="2" t="n">
        <v>62</v>
      </c>
      <c r="C209" s="2" t="s">
        <v>233</v>
      </c>
      <c r="D209" s="2" t="s">
        <v>403</v>
      </c>
      <c r="E209" s="2" t="s">
        <v>249</v>
      </c>
      <c r="F209" s="33" t="n">
        <v>45120</v>
      </c>
      <c r="G209" s="33" t="n">
        <v>45118</v>
      </c>
      <c r="H209" s="2" t="n">
        <v>3852</v>
      </c>
      <c r="I209" s="2" t="s">
        <v>250</v>
      </c>
      <c r="J209" s="2" t="s">
        <v>236</v>
      </c>
    </row>
    <row r="210" customFormat="false" ht="15" hidden="false" customHeight="false" outlineLevel="0" collapsed="false">
      <c r="A210" s="2" t="s">
        <v>282</v>
      </c>
      <c r="B210" s="2" t="n">
        <v>9</v>
      </c>
      <c r="C210" s="2" t="s">
        <v>224</v>
      </c>
      <c r="D210" s="2" t="s">
        <v>403</v>
      </c>
      <c r="E210" s="2" t="s">
        <v>240</v>
      </c>
      <c r="F210" s="33" t="n">
        <v>45257</v>
      </c>
      <c r="G210" s="33" t="n">
        <v>45260</v>
      </c>
      <c r="H210" s="2" t="n">
        <v>999</v>
      </c>
      <c r="I210" s="2" t="s">
        <v>228</v>
      </c>
      <c r="J210" s="2" t="s">
        <v>256</v>
      </c>
    </row>
    <row r="211" customFormat="false" ht="15" hidden="false" customHeight="false" outlineLevel="0" collapsed="false">
      <c r="A211" s="2" t="s">
        <v>303</v>
      </c>
      <c r="B211" s="2" t="n">
        <v>41</v>
      </c>
      <c r="C211" s="2" t="s">
        <v>224</v>
      </c>
      <c r="D211" s="2" t="s">
        <v>403</v>
      </c>
      <c r="E211" s="2" t="s">
        <v>255</v>
      </c>
      <c r="F211" s="33" t="n">
        <v>44942</v>
      </c>
      <c r="G211" s="33" t="n">
        <v>44948</v>
      </c>
      <c r="H211" s="2" t="n">
        <v>3293</v>
      </c>
      <c r="I211" s="2" t="s">
        <v>235</v>
      </c>
      <c r="J211" s="2" t="s">
        <v>256</v>
      </c>
    </row>
    <row r="212" customFormat="false" ht="15" hidden="false" customHeight="false" outlineLevel="0" collapsed="false">
      <c r="A212" s="2" t="s">
        <v>238</v>
      </c>
      <c r="B212" s="2" t="n">
        <v>53</v>
      </c>
      <c r="C212" s="2" t="s">
        <v>233</v>
      </c>
      <c r="D212" s="2" t="s">
        <v>403</v>
      </c>
      <c r="E212" s="2" t="s">
        <v>240</v>
      </c>
      <c r="F212" s="33" t="n">
        <v>45195</v>
      </c>
      <c r="G212" s="33" t="n">
        <v>45202</v>
      </c>
      <c r="H212" s="2" t="n">
        <v>999</v>
      </c>
      <c r="I212" s="2" t="s">
        <v>235</v>
      </c>
      <c r="J212" s="2" t="s">
        <v>229</v>
      </c>
    </row>
    <row r="213" customFormat="false" ht="15" hidden="false" customHeight="false" outlineLevel="0" collapsed="false">
      <c r="A213" s="2" t="s">
        <v>338</v>
      </c>
      <c r="B213" s="2" t="n">
        <v>14</v>
      </c>
      <c r="C213" s="2" t="s">
        <v>233</v>
      </c>
      <c r="D213" s="2" t="s">
        <v>403</v>
      </c>
      <c r="E213" s="2" t="s">
        <v>240</v>
      </c>
      <c r="F213" s="33" t="n">
        <v>45263</v>
      </c>
      <c r="G213" s="33" t="n">
        <v>45266</v>
      </c>
      <c r="H213" s="2" t="n">
        <v>999</v>
      </c>
      <c r="I213" s="2" t="s">
        <v>235</v>
      </c>
      <c r="J213" s="2" t="s">
        <v>229</v>
      </c>
    </row>
    <row r="214" customFormat="false" ht="15" hidden="false" customHeight="false" outlineLevel="0" collapsed="false">
      <c r="A214" s="2" t="s">
        <v>368</v>
      </c>
      <c r="B214" s="2" t="n">
        <v>6</v>
      </c>
      <c r="C214" s="2" t="s">
        <v>233</v>
      </c>
      <c r="D214" s="2" t="s">
        <v>403</v>
      </c>
      <c r="E214" s="2" t="s">
        <v>249</v>
      </c>
      <c r="F214" s="33" t="n">
        <v>45010</v>
      </c>
      <c r="G214" s="33" t="n">
        <v>45007</v>
      </c>
      <c r="H214" s="2" t="n">
        <v>3852</v>
      </c>
      <c r="I214" s="2" t="s">
        <v>250</v>
      </c>
      <c r="J214" s="2" t="s">
        <v>256</v>
      </c>
    </row>
    <row r="215" customFormat="false" ht="15" hidden="false" customHeight="false" outlineLevel="0" collapsed="false">
      <c r="A215" s="2" t="s">
        <v>280</v>
      </c>
      <c r="B215" s="2" t="n">
        <v>86</v>
      </c>
      <c r="C215" s="2" t="s">
        <v>233</v>
      </c>
      <c r="D215" s="2" t="s">
        <v>410</v>
      </c>
      <c r="E215" s="2" t="s">
        <v>249</v>
      </c>
      <c r="F215" s="33" t="n">
        <v>44966</v>
      </c>
      <c r="G215" s="33" t="n">
        <v>44975</v>
      </c>
      <c r="H215" s="2" t="n">
        <v>999</v>
      </c>
      <c r="I215" s="2" t="s">
        <v>235</v>
      </c>
      <c r="J215" s="2" t="s">
        <v>256</v>
      </c>
    </row>
    <row r="216" customFormat="false" ht="15" hidden="false" customHeight="false" outlineLevel="0" collapsed="false">
      <c r="A216" s="2" t="s">
        <v>509</v>
      </c>
      <c r="B216" s="2" t="n">
        <v>31</v>
      </c>
      <c r="C216" s="2" t="s">
        <v>233</v>
      </c>
      <c r="D216" s="2" t="s">
        <v>457</v>
      </c>
      <c r="E216" s="2" t="s">
        <v>249</v>
      </c>
      <c r="F216" s="33" t="n">
        <v>45049</v>
      </c>
      <c r="G216" s="33" t="n">
        <v>45050</v>
      </c>
      <c r="H216" s="2" t="n">
        <v>1484</v>
      </c>
      <c r="I216" s="2" t="s">
        <v>228</v>
      </c>
      <c r="J216" s="2" t="s">
        <v>229</v>
      </c>
    </row>
    <row r="217" customFormat="false" ht="15" hidden="false" customHeight="false" outlineLevel="0" collapsed="false">
      <c r="A217" s="2" t="s">
        <v>501</v>
      </c>
      <c r="B217" s="2" t="n">
        <v>6</v>
      </c>
      <c r="C217" s="2" t="s">
        <v>224</v>
      </c>
      <c r="D217" s="2" t="s">
        <v>457</v>
      </c>
      <c r="E217" s="2" t="s">
        <v>260</v>
      </c>
      <c r="F217" s="33" t="n">
        <v>45078</v>
      </c>
      <c r="G217" s="33" t="n">
        <v>45076</v>
      </c>
      <c r="H217" s="2" t="n">
        <v>3852</v>
      </c>
      <c r="I217" s="2" t="s">
        <v>228</v>
      </c>
      <c r="J217" s="2" t="s">
        <v>236</v>
      </c>
    </row>
    <row r="218" customFormat="false" ht="15" hidden="false" customHeight="false" outlineLevel="0" collapsed="false">
      <c r="A218" s="2" t="s">
        <v>334</v>
      </c>
      <c r="B218" s="2" t="n">
        <v>88</v>
      </c>
      <c r="C218" s="2" t="s">
        <v>233</v>
      </c>
      <c r="D218" s="2" t="s">
        <v>457</v>
      </c>
      <c r="E218" s="2" t="s">
        <v>263</v>
      </c>
      <c r="F218" s="33" t="n">
        <v>45235</v>
      </c>
      <c r="G218" s="33" t="n">
        <v>45240</v>
      </c>
      <c r="H218" s="2" t="n">
        <v>3852</v>
      </c>
      <c r="I218" s="2" t="s">
        <v>235</v>
      </c>
      <c r="J218" s="2" t="s">
        <v>229</v>
      </c>
    </row>
    <row r="219" customFormat="false" ht="15" hidden="false" customHeight="false" outlineLevel="0" collapsed="false">
      <c r="A219" s="2" t="s">
        <v>441</v>
      </c>
      <c r="B219" s="2" t="n">
        <v>81</v>
      </c>
      <c r="C219" s="2" t="s">
        <v>233</v>
      </c>
      <c r="D219" s="2" t="s">
        <v>457</v>
      </c>
      <c r="E219" s="2" t="s">
        <v>260</v>
      </c>
      <c r="F219" s="33" t="n">
        <v>45101</v>
      </c>
      <c r="G219" s="33" t="n">
        <v>45102</v>
      </c>
      <c r="H219" s="2" t="n">
        <v>535</v>
      </c>
      <c r="I219" s="2" t="s">
        <v>235</v>
      </c>
      <c r="J219" s="2" t="s">
        <v>256</v>
      </c>
    </row>
    <row r="220" customFormat="false" ht="15" hidden="false" customHeight="false" outlineLevel="0" collapsed="false">
      <c r="A220" s="2" t="s">
        <v>465</v>
      </c>
      <c r="B220" s="2" t="n">
        <v>37</v>
      </c>
      <c r="C220" s="2" t="s">
        <v>224</v>
      </c>
      <c r="D220" s="2" t="s">
        <v>457</v>
      </c>
      <c r="E220" s="2" t="s">
        <v>263</v>
      </c>
      <c r="F220" s="33" t="n">
        <v>45182</v>
      </c>
      <c r="G220" s="33" t="n">
        <v>45191</v>
      </c>
      <c r="H220" s="2" t="n">
        <v>999</v>
      </c>
      <c r="I220" s="2" t="s">
        <v>250</v>
      </c>
      <c r="J220" s="2" t="s">
        <v>256</v>
      </c>
    </row>
    <row r="221" customFormat="false" ht="15" hidden="false" customHeight="false" outlineLevel="0" collapsed="false">
      <c r="A221" s="2" t="s">
        <v>321</v>
      </c>
      <c r="B221" s="2" t="n">
        <v>88</v>
      </c>
      <c r="C221" s="2" t="s">
        <v>233</v>
      </c>
      <c r="D221" s="2" t="s">
        <v>457</v>
      </c>
      <c r="E221" s="2" t="s">
        <v>240</v>
      </c>
      <c r="F221" s="33" t="n">
        <v>45049</v>
      </c>
      <c r="G221" s="33" t="n">
        <v>45054</v>
      </c>
      <c r="H221" s="2" t="n">
        <v>3852</v>
      </c>
      <c r="I221" s="2" t="s">
        <v>250</v>
      </c>
      <c r="J221" s="2" t="s">
        <v>256</v>
      </c>
    </row>
    <row r="222" customFormat="false" ht="15" hidden="false" customHeight="false" outlineLevel="0" collapsed="false">
      <c r="A222" s="2" t="s">
        <v>535</v>
      </c>
      <c r="B222" s="2" t="n">
        <v>41</v>
      </c>
      <c r="C222" s="2" t="s">
        <v>224</v>
      </c>
      <c r="D222" s="2" t="s">
        <v>457</v>
      </c>
      <c r="E222" s="2" t="s">
        <v>263</v>
      </c>
      <c r="F222" s="33" t="n">
        <v>45048</v>
      </c>
      <c r="G222" s="33" t="n">
        <v>45057</v>
      </c>
      <c r="H222" s="2" t="n">
        <v>3852</v>
      </c>
      <c r="I222" s="2" t="s">
        <v>250</v>
      </c>
      <c r="J222" s="2" t="s">
        <v>256</v>
      </c>
    </row>
    <row r="223" customFormat="false" ht="15" hidden="false" customHeight="false" outlineLevel="0" collapsed="false">
      <c r="A223" s="2" t="s">
        <v>454</v>
      </c>
      <c r="B223" s="2" t="n">
        <v>59</v>
      </c>
      <c r="C223" s="2" t="s">
        <v>233</v>
      </c>
      <c r="D223" s="2" t="s">
        <v>457</v>
      </c>
      <c r="E223" s="2" t="s">
        <v>260</v>
      </c>
      <c r="F223" s="33" t="n">
        <v>45203</v>
      </c>
      <c r="G223" s="33" t="n">
        <v>45213</v>
      </c>
      <c r="H223" s="2" t="n">
        <v>3852</v>
      </c>
      <c r="I223" s="2" t="s">
        <v>228</v>
      </c>
      <c r="J223" s="2" t="s">
        <v>236</v>
      </c>
    </row>
    <row r="224" customFormat="false" ht="15" hidden="false" customHeight="false" outlineLevel="0" collapsed="false">
      <c r="A224" s="2" t="s">
        <v>321</v>
      </c>
      <c r="B224" s="2" t="n">
        <v>13</v>
      </c>
      <c r="C224" s="2" t="s">
        <v>224</v>
      </c>
      <c r="D224" s="2" t="s">
        <v>355</v>
      </c>
      <c r="E224" s="2" t="s">
        <v>260</v>
      </c>
      <c r="F224" s="33" t="n">
        <v>45125</v>
      </c>
      <c r="G224" s="33" t="n">
        <v>45132</v>
      </c>
      <c r="H224" s="2" t="n">
        <v>3852</v>
      </c>
      <c r="I224" s="2" t="s">
        <v>228</v>
      </c>
      <c r="J224" s="2" t="s">
        <v>236</v>
      </c>
    </row>
    <row r="225" customFormat="false" ht="15" hidden="false" customHeight="false" outlineLevel="0" collapsed="false">
      <c r="A225" s="2" t="s">
        <v>298</v>
      </c>
      <c r="B225" s="2" t="n">
        <v>36</v>
      </c>
      <c r="C225" s="2" t="s">
        <v>233</v>
      </c>
      <c r="D225" s="2" t="s">
        <v>355</v>
      </c>
      <c r="E225" s="2" t="s">
        <v>260</v>
      </c>
      <c r="F225" s="33" t="n">
        <v>45121</v>
      </c>
      <c r="G225" s="33" t="n">
        <v>45123</v>
      </c>
      <c r="H225" s="2" t="n">
        <v>999</v>
      </c>
      <c r="I225" s="2" t="s">
        <v>235</v>
      </c>
      <c r="J225" s="2" t="s">
        <v>236</v>
      </c>
    </row>
    <row r="226" customFormat="false" ht="15" hidden="false" customHeight="false" outlineLevel="0" collapsed="false">
      <c r="A226" s="2" t="s">
        <v>254</v>
      </c>
      <c r="B226" s="2" t="n">
        <v>86</v>
      </c>
      <c r="C226" s="2" t="s">
        <v>233</v>
      </c>
      <c r="D226" s="2" t="s">
        <v>225</v>
      </c>
      <c r="E226" s="2" t="s">
        <v>226</v>
      </c>
      <c r="F226" s="33" t="n">
        <v>45271</v>
      </c>
      <c r="G226" s="33" t="n">
        <v>45267</v>
      </c>
      <c r="H226" s="2" t="n">
        <v>999</v>
      </c>
      <c r="I226" s="2" t="s">
        <v>228</v>
      </c>
      <c r="J226" s="2" t="s">
        <v>236</v>
      </c>
    </row>
    <row r="227" customFormat="false" ht="15" hidden="false" customHeight="false" outlineLevel="0" collapsed="false">
      <c r="A227" s="2" t="s">
        <v>555</v>
      </c>
      <c r="B227" s="2" t="n">
        <v>61</v>
      </c>
      <c r="C227" s="2" t="s">
        <v>224</v>
      </c>
      <c r="D227" s="2" t="s">
        <v>225</v>
      </c>
      <c r="E227" s="2" t="s">
        <v>245</v>
      </c>
      <c r="F227" s="33" t="n">
        <v>45201</v>
      </c>
      <c r="G227" s="33" t="n">
        <v>45202</v>
      </c>
      <c r="H227" s="2" t="n">
        <v>1560</v>
      </c>
      <c r="I227" s="2" t="s">
        <v>250</v>
      </c>
      <c r="J227" s="2" t="s">
        <v>236</v>
      </c>
    </row>
    <row r="228" customFormat="false" ht="15" hidden="false" customHeight="false" outlineLevel="0" collapsed="false">
      <c r="A228" s="2" t="s">
        <v>350</v>
      </c>
      <c r="B228" s="2" t="n">
        <v>89</v>
      </c>
      <c r="C228" s="2" t="s">
        <v>233</v>
      </c>
      <c r="D228" s="2" t="s">
        <v>225</v>
      </c>
      <c r="E228" s="2" t="s">
        <v>245</v>
      </c>
      <c r="F228" s="33" t="n">
        <v>45024</v>
      </c>
      <c r="G228" s="33" t="n">
        <v>45027</v>
      </c>
      <c r="H228" s="2" t="n">
        <v>4562</v>
      </c>
      <c r="I228" s="2" t="s">
        <v>235</v>
      </c>
      <c r="J228" s="2" t="s">
        <v>236</v>
      </c>
    </row>
    <row r="229" customFormat="false" ht="15" hidden="false" customHeight="false" outlineLevel="0" collapsed="false">
      <c r="A229" s="2" t="s">
        <v>321</v>
      </c>
      <c r="B229" s="2" t="n">
        <v>11</v>
      </c>
      <c r="C229" s="2" t="s">
        <v>233</v>
      </c>
      <c r="D229" s="2" t="s">
        <v>225</v>
      </c>
      <c r="E229" s="2" t="s">
        <v>249</v>
      </c>
      <c r="F229" s="33" t="n">
        <v>45034</v>
      </c>
      <c r="G229" s="33" t="n">
        <v>45038</v>
      </c>
      <c r="H229" s="2" t="n">
        <v>3852</v>
      </c>
      <c r="I229" s="2" t="s">
        <v>250</v>
      </c>
      <c r="J229" s="2" t="s">
        <v>256</v>
      </c>
    </row>
    <row r="230" customFormat="false" ht="15" hidden="false" customHeight="false" outlineLevel="0" collapsed="false">
      <c r="A230" s="2" t="s">
        <v>223</v>
      </c>
      <c r="B230" s="2" t="n">
        <v>5</v>
      </c>
      <c r="C230" s="2" t="s">
        <v>233</v>
      </c>
      <c r="D230" s="2" t="s">
        <v>225</v>
      </c>
      <c r="E230" s="2" t="s">
        <v>249</v>
      </c>
      <c r="F230" s="33" t="n">
        <v>44952</v>
      </c>
      <c r="G230" s="33" t="n">
        <v>44957</v>
      </c>
      <c r="H230" s="2" t="n">
        <v>3852</v>
      </c>
      <c r="I230" s="2" t="s">
        <v>250</v>
      </c>
      <c r="J230" s="2" t="s">
        <v>256</v>
      </c>
    </row>
    <row r="231" customFormat="false" ht="15" hidden="false" customHeight="false" outlineLevel="0" collapsed="false">
      <c r="A231" s="2" t="s">
        <v>259</v>
      </c>
      <c r="B231" s="2" t="n">
        <v>68</v>
      </c>
      <c r="C231" s="2" t="s">
        <v>224</v>
      </c>
      <c r="D231" s="2" t="s">
        <v>225</v>
      </c>
      <c r="E231" s="2" t="s">
        <v>226</v>
      </c>
      <c r="F231" s="33" t="n">
        <v>45177</v>
      </c>
      <c r="G231" s="33" t="n">
        <v>45197</v>
      </c>
      <c r="H231" s="2" t="n">
        <v>999</v>
      </c>
      <c r="I231" s="2" t="s">
        <v>228</v>
      </c>
      <c r="J231" s="2" t="s">
        <v>236</v>
      </c>
    </row>
    <row r="232" customFormat="false" ht="15" hidden="false" customHeight="false" outlineLevel="0" collapsed="false">
      <c r="A232" s="2" t="s">
        <v>384</v>
      </c>
      <c r="B232" s="2" t="n">
        <v>17</v>
      </c>
      <c r="C232" s="2" t="s">
        <v>233</v>
      </c>
      <c r="D232" s="2" t="s">
        <v>225</v>
      </c>
      <c r="E232" s="2" t="s">
        <v>255</v>
      </c>
      <c r="F232" s="33" t="n">
        <v>45101</v>
      </c>
      <c r="G232" s="33" t="n">
        <v>45104</v>
      </c>
      <c r="H232" s="2" t="n">
        <v>999</v>
      </c>
      <c r="I232" s="2" t="s">
        <v>250</v>
      </c>
      <c r="J232" s="2" t="s">
        <v>229</v>
      </c>
    </row>
    <row r="233" customFormat="false" ht="15" hidden="false" customHeight="false" outlineLevel="0" collapsed="false">
      <c r="A233" s="2" t="s">
        <v>325</v>
      </c>
      <c r="B233" s="2" t="n">
        <v>89</v>
      </c>
      <c r="C233" s="2" t="s">
        <v>233</v>
      </c>
      <c r="D233" s="2" t="s">
        <v>225</v>
      </c>
      <c r="E233" s="2" t="s">
        <v>263</v>
      </c>
      <c r="F233" s="33" t="n">
        <v>45021</v>
      </c>
      <c r="G233" s="33" t="n">
        <v>45033</v>
      </c>
      <c r="H233" s="2" t="n">
        <v>999</v>
      </c>
      <c r="I233" s="2" t="s">
        <v>228</v>
      </c>
      <c r="J233" s="2" t="s">
        <v>229</v>
      </c>
    </row>
    <row r="234" customFormat="false" ht="15" hidden="false" customHeight="false" outlineLevel="0" collapsed="false">
      <c r="A234" s="2" t="s">
        <v>280</v>
      </c>
      <c r="B234" s="2" t="n">
        <v>82</v>
      </c>
      <c r="C234" s="2" t="s">
        <v>224</v>
      </c>
      <c r="D234" s="2" t="s">
        <v>225</v>
      </c>
      <c r="E234" s="2" t="s">
        <v>245</v>
      </c>
      <c r="F234" s="33" t="n">
        <v>45178</v>
      </c>
      <c r="G234" s="33" t="n">
        <v>45174</v>
      </c>
      <c r="H234" s="2" t="n">
        <v>999</v>
      </c>
      <c r="I234" s="2" t="s">
        <v>235</v>
      </c>
      <c r="J234" s="2" t="s">
        <v>229</v>
      </c>
    </row>
    <row r="235" customFormat="false" ht="15" hidden="false" customHeight="false" outlineLevel="0" collapsed="false">
      <c r="A235" s="2" t="s">
        <v>315</v>
      </c>
      <c r="B235" s="2" t="n">
        <v>14</v>
      </c>
      <c r="C235" s="2" t="s">
        <v>233</v>
      </c>
      <c r="D235" s="2" t="s">
        <v>225</v>
      </c>
      <c r="E235" s="2" t="s">
        <v>240</v>
      </c>
      <c r="F235" s="33" t="n">
        <v>45241</v>
      </c>
      <c r="G235" s="33" t="n">
        <v>45250</v>
      </c>
      <c r="H235" s="2" t="n">
        <v>999</v>
      </c>
      <c r="I235" s="2" t="s">
        <v>228</v>
      </c>
      <c r="J235" s="2" t="s">
        <v>236</v>
      </c>
    </row>
    <row r="236" customFormat="false" ht="15" hidden="false" customHeight="false" outlineLevel="0" collapsed="false">
      <c r="A236" s="2" t="s">
        <v>293</v>
      </c>
      <c r="B236" s="2" t="n">
        <v>61</v>
      </c>
      <c r="C236" s="2" t="s">
        <v>224</v>
      </c>
      <c r="D236" s="2" t="s">
        <v>225</v>
      </c>
      <c r="E236" s="2" t="s">
        <v>226</v>
      </c>
      <c r="F236" s="33" t="n">
        <v>45265</v>
      </c>
      <c r="G236" s="33" t="n">
        <v>45267</v>
      </c>
      <c r="H236" s="2" t="n">
        <v>3852</v>
      </c>
      <c r="I236" s="2" t="s">
        <v>228</v>
      </c>
      <c r="J236" s="2" t="s">
        <v>236</v>
      </c>
    </row>
    <row r="237" customFormat="false" ht="15" hidden="false" customHeight="false" outlineLevel="0" collapsed="false">
      <c r="A237" s="2" t="s">
        <v>555</v>
      </c>
      <c r="B237" s="2" t="n">
        <v>48</v>
      </c>
      <c r="C237" s="2" t="s">
        <v>224</v>
      </c>
      <c r="D237" s="2" t="s">
        <v>477</v>
      </c>
      <c r="E237" s="2" t="s">
        <v>260</v>
      </c>
      <c r="F237" s="33" t="n">
        <v>45244</v>
      </c>
      <c r="G237" s="33" t="n">
        <v>45248</v>
      </c>
      <c r="H237" s="2" t="n">
        <v>3852</v>
      </c>
      <c r="I237" s="2" t="s">
        <v>235</v>
      </c>
      <c r="J237" s="2" t="s">
        <v>236</v>
      </c>
    </row>
    <row r="238" customFormat="false" ht="15" hidden="false" customHeight="false" outlineLevel="0" collapsed="false">
      <c r="A238" s="2" t="s">
        <v>447</v>
      </c>
      <c r="B238" s="2" t="n">
        <v>41</v>
      </c>
      <c r="C238" s="2" t="s">
        <v>233</v>
      </c>
      <c r="D238" s="2" t="s">
        <v>477</v>
      </c>
      <c r="E238" s="2" t="s">
        <v>263</v>
      </c>
      <c r="F238" s="33" t="n">
        <v>45190</v>
      </c>
      <c r="G238" s="33" t="n">
        <v>45194</v>
      </c>
      <c r="H238" s="2" t="n">
        <v>3852</v>
      </c>
      <c r="I238" s="2" t="s">
        <v>228</v>
      </c>
      <c r="J238" s="2" t="s">
        <v>236</v>
      </c>
    </row>
    <row r="239" customFormat="false" ht="15" hidden="false" customHeight="false" outlineLevel="0" collapsed="false">
      <c r="A239" s="2" t="s">
        <v>460</v>
      </c>
      <c r="B239" s="2" t="n">
        <v>82</v>
      </c>
      <c r="C239" s="2" t="s">
        <v>224</v>
      </c>
      <c r="D239" s="2" t="s">
        <v>477</v>
      </c>
      <c r="E239" s="2" t="s">
        <v>226</v>
      </c>
      <c r="F239" s="33" t="n">
        <v>44963</v>
      </c>
      <c r="G239" s="33" t="n">
        <v>44965</v>
      </c>
      <c r="H239" s="2" t="n">
        <v>999</v>
      </c>
      <c r="I239" s="2" t="s">
        <v>250</v>
      </c>
      <c r="J239" s="2" t="s">
        <v>229</v>
      </c>
    </row>
    <row r="240" customFormat="false" ht="15" hidden="false" customHeight="false" outlineLevel="0" collapsed="false">
      <c r="A240" s="2" t="s">
        <v>447</v>
      </c>
      <c r="B240" s="2" t="n">
        <v>11</v>
      </c>
      <c r="C240" s="2" t="s">
        <v>233</v>
      </c>
      <c r="D240" s="2" t="s">
        <v>477</v>
      </c>
      <c r="E240" s="2" t="s">
        <v>245</v>
      </c>
      <c r="F240" s="33" t="n">
        <v>45257</v>
      </c>
      <c r="G240" s="33" t="n">
        <v>45262</v>
      </c>
      <c r="H240" s="2" t="n">
        <v>3847</v>
      </c>
      <c r="I240" s="2" t="s">
        <v>235</v>
      </c>
      <c r="J240" s="2" t="s">
        <v>236</v>
      </c>
    </row>
    <row r="241" customFormat="false" ht="15" hidden="false" customHeight="false" outlineLevel="0" collapsed="false">
      <c r="A241" s="2" t="s">
        <v>555</v>
      </c>
      <c r="B241" s="2" t="n">
        <v>45</v>
      </c>
      <c r="C241" s="2" t="s">
        <v>224</v>
      </c>
      <c r="D241" s="2" t="s">
        <v>477</v>
      </c>
      <c r="E241" s="2" t="s">
        <v>226</v>
      </c>
      <c r="F241" s="33" t="n">
        <v>45195</v>
      </c>
      <c r="G241" s="33" t="n">
        <v>45201</v>
      </c>
      <c r="H241" s="2" t="n">
        <v>4008</v>
      </c>
      <c r="I241" s="2" t="s">
        <v>235</v>
      </c>
      <c r="J241" s="2" t="s">
        <v>229</v>
      </c>
    </row>
    <row r="242" customFormat="false" ht="15" hidden="false" customHeight="false" outlineLevel="0" collapsed="false">
      <c r="A242" s="2" t="s">
        <v>460</v>
      </c>
      <c r="B242" s="2" t="n">
        <v>90</v>
      </c>
      <c r="C242" s="2" t="s">
        <v>224</v>
      </c>
      <c r="D242" s="2" t="s">
        <v>477</v>
      </c>
      <c r="E242" s="2" t="s">
        <v>255</v>
      </c>
      <c r="F242" s="33" t="n">
        <v>45187</v>
      </c>
      <c r="G242" s="33" t="n">
        <v>45201</v>
      </c>
      <c r="H242" s="2" t="n">
        <v>3852</v>
      </c>
      <c r="I242" s="2" t="s">
        <v>228</v>
      </c>
      <c r="J242" s="2" t="s">
        <v>229</v>
      </c>
    </row>
    <row r="243" customFormat="false" ht="15" hidden="false" customHeight="false" outlineLevel="0" collapsed="false">
      <c r="A243" s="2" t="s">
        <v>277</v>
      </c>
      <c r="B243" s="2" t="n">
        <v>70</v>
      </c>
      <c r="C243" s="2" t="s">
        <v>224</v>
      </c>
      <c r="D243" s="2" t="s">
        <v>477</v>
      </c>
      <c r="E243" s="2" t="s">
        <v>226</v>
      </c>
      <c r="F243" s="33" t="n">
        <v>44944</v>
      </c>
      <c r="G243" s="33" t="n">
        <v>44943</v>
      </c>
      <c r="H243" s="2" t="n">
        <v>999</v>
      </c>
      <c r="I243" s="2" t="s">
        <v>235</v>
      </c>
      <c r="J243" s="2" t="s">
        <v>236</v>
      </c>
    </row>
    <row r="244" customFormat="false" ht="15" hidden="false" customHeight="false" outlineLevel="0" collapsed="false">
      <c r="A244" s="2" t="s">
        <v>555</v>
      </c>
      <c r="B244" s="2" t="n">
        <v>47</v>
      </c>
      <c r="C244" s="2" t="s">
        <v>233</v>
      </c>
      <c r="D244" s="2" t="s">
        <v>477</v>
      </c>
      <c r="E244" s="2" t="s">
        <v>226</v>
      </c>
      <c r="F244" s="33" t="n">
        <v>45053</v>
      </c>
      <c r="G244" s="33" t="n">
        <v>45070</v>
      </c>
      <c r="H244" s="2" t="n">
        <v>999</v>
      </c>
      <c r="I244" s="2" t="s">
        <v>228</v>
      </c>
      <c r="J244" s="2" t="s">
        <v>229</v>
      </c>
    </row>
    <row r="245" customFormat="false" ht="15" hidden="false" customHeight="false" outlineLevel="0" collapsed="false">
      <c r="A245" s="2" t="s">
        <v>238</v>
      </c>
      <c r="B245" s="2" t="n">
        <v>16</v>
      </c>
      <c r="C245" s="2" t="s">
        <v>224</v>
      </c>
      <c r="D245" s="2" t="s">
        <v>477</v>
      </c>
      <c r="E245" s="2" t="s">
        <v>255</v>
      </c>
      <c r="F245" s="33" t="n">
        <v>45101</v>
      </c>
      <c r="G245" s="33" t="n">
        <v>45106</v>
      </c>
      <c r="H245" s="2" t="n">
        <v>3852</v>
      </c>
      <c r="I245" s="2" t="s">
        <v>250</v>
      </c>
      <c r="J245" s="2" t="s">
        <v>229</v>
      </c>
    </row>
    <row r="246" customFormat="false" ht="15" hidden="false" customHeight="false" outlineLevel="0" collapsed="false">
      <c r="A246" s="2" t="s">
        <v>223</v>
      </c>
      <c r="B246" s="2" t="n">
        <v>27</v>
      </c>
      <c r="C246" s="2" t="s">
        <v>224</v>
      </c>
      <c r="D246" s="2" t="s">
        <v>477</v>
      </c>
      <c r="E246" s="2" t="s">
        <v>263</v>
      </c>
      <c r="F246" s="33" t="n">
        <v>45007</v>
      </c>
      <c r="G246" s="33" t="n">
        <v>45009</v>
      </c>
      <c r="H246" s="2" t="n">
        <v>3852</v>
      </c>
      <c r="I246" s="2" t="s">
        <v>250</v>
      </c>
      <c r="J246" s="2" t="s">
        <v>236</v>
      </c>
    </row>
    <row r="247" customFormat="false" ht="15" hidden="false" customHeight="false" outlineLevel="0" collapsed="false">
      <c r="A247" s="2" t="s">
        <v>327</v>
      </c>
      <c r="B247" s="2" t="n">
        <v>46</v>
      </c>
      <c r="C247" s="2" t="s">
        <v>233</v>
      </c>
      <c r="D247" s="2" t="s">
        <v>477</v>
      </c>
      <c r="E247" s="2" t="s">
        <v>249</v>
      </c>
      <c r="F247" s="33" t="n">
        <v>45231</v>
      </c>
      <c r="G247" s="33" t="n">
        <v>45228</v>
      </c>
      <c r="H247" s="2" t="n">
        <v>4619</v>
      </c>
      <c r="I247" s="2" t="s">
        <v>235</v>
      </c>
      <c r="J247" s="2" t="s">
        <v>236</v>
      </c>
    </row>
    <row r="248" customFormat="false" ht="15" hidden="false" customHeight="false" outlineLevel="0" collapsed="false">
      <c r="A248" s="2" t="s">
        <v>277</v>
      </c>
      <c r="B248" s="2" t="n">
        <v>85</v>
      </c>
      <c r="C248" s="2" t="s">
        <v>224</v>
      </c>
      <c r="D248" s="2" t="s">
        <v>477</v>
      </c>
      <c r="E248" s="2" t="s">
        <v>245</v>
      </c>
      <c r="F248" s="33" t="n">
        <v>45208</v>
      </c>
      <c r="G248" s="33" t="n">
        <v>45212</v>
      </c>
      <c r="H248" s="2" t="n">
        <v>999</v>
      </c>
      <c r="I248" s="2" t="s">
        <v>235</v>
      </c>
      <c r="J248" s="2" t="s">
        <v>256</v>
      </c>
    </row>
    <row r="249" customFormat="false" ht="15" hidden="false" customHeight="false" outlineLevel="0" collapsed="false">
      <c r="A249" s="2" t="s">
        <v>345</v>
      </c>
      <c r="B249" s="2" t="n">
        <v>17</v>
      </c>
      <c r="C249" s="2" t="s">
        <v>224</v>
      </c>
      <c r="D249" s="2" t="s">
        <v>477</v>
      </c>
      <c r="E249" s="2" t="s">
        <v>255</v>
      </c>
      <c r="F249" s="33" t="n">
        <v>45273</v>
      </c>
      <c r="G249" s="33" t="n">
        <v>45275</v>
      </c>
      <c r="H249" s="2" t="n">
        <v>3852</v>
      </c>
      <c r="I249" s="2" t="s">
        <v>228</v>
      </c>
      <c r="J249" s="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2026-09-23T19:24:59Z</dcterms:created>
  <dc:creator>openpyxl</dc:creator>
  <dc:description/>
  <dc:language>en-GB</dc:language>
  <cp:lastModifiedBy/>
  <dcterms:modified xsi:type="dcterms:W3CDTF">2026-09-23T19:25:00Z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