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tyles.xml" ContentType="application/vnd.openxmlformats-officedocument.spreadsheetml.styles+xml"/>
  <Override PartName="/xl/charts/colors3.xml" ContentType="application/vnd.ms-office.chartcolorstyle+xml"/>
  <Override PartName="/xl/charts/style2.xml" ContentType="application/vnd.ms-office.chartsty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3.xml" ContentType="application/vnd.ms-office.chartstyle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"/>
  </bookViews>
  <sheets>
    <sheet name="Task 1" sheetId="1" state="visible" r:id="rId3"/>
    <sheet name="Task 2" sheetId="2" state="visible" r:id="rId4"/>
    <sheet name="Task 3" sheetId="3" state="visible" r:id="rId5"/>
    <sheet name="Task 4" sheetId="4" state="visible" r:id="rId6"/>
    <sheet name="Task 5" sheetId="5" state="visible" r:id="rId7"/>
    <sheet name="Task 6" sheetId="6" state="visible" r:id="rId8"/>
    <sheet name="Task 7" sheetId="7" state="visible" r:id="rId9"/>
  </sheets>
  <definedNames>
    <definedName function="false" hidden="true" localSheetId="0" name="_xlnm._FilterDatabase" vbProcedure="false">'Task 1'!$A$5:$F$35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<sst xmlns="http://schemas.openxmlformats.org/spreadsheetml/2006/main" count="410" uniqueCount="57">
  <si>
    <t xml:space="preserve">Please organize the data by using the best format for date , and currency , fonts, frams, ect…</t>
  </si>
  <si>
    <t xml:space="preserve">Sales Report</t>
  </si>
  <si>
    <t xml:space="preserve">Order Date</t>
  </si>
  <si>
    <t xml:space="preserve">Sales Agent Name</t>
  </si>
  <si>
    <t xml:space="preserve">Car Type</t>
  </si>
  <si>
    <t xml:space="preserve">Car price</t>
  </si>
  <si>
    <t xml:space="preserve">Count</t>
  </si>
  <si>
    <t xml:space="preserve">Total Sales</t>
  </si>
  <si>
    <t xml:space="preserve">Ahmed</t>
  </si>
  <si>
    <t xml:space="preserve">Toyota</t>
  </si>
  <si>
    <t xml:space="preserve">Hossam</t>
  </si>
  <si>
    <t xml:space="preserve">Jeep</t>
  </si>
  <si>
    <t xml:space="preserve">Abdullah</t>
  </si>
  <si>
    <t xml:space="preserve">Mona</t>
  </si>
  <si>
    <t xml:space="preserve">Volkswagen</t>
  </si>
  <si>
    <t xml:space="preserve">Farida</t>
  </si>
  <si>
    <t xml:space="preserve">BMW</t>
  </si>
  <si>
    <t xml:space="preserve">Kia</t>
  </si>
  <si>
    <t xml:space="preserve">Ali</t>
  </si>
  <si>
    <t xml:space="preserve">Please change the color of the highest and lowest order amount</t>
  </si>
  <si>
    <t xml:space="preserve">Please highlight the by green all the results that more than J3 Amount and by red any results below this number</t>
  </si>
  <si>
    <t xml:space="preserve">Please find the highest and the lowest results</t>
  </si>
  <si>
    <t xml:space="preserve">Target</t>
  </si>
  <si>
    <t xml:space="preserve">Sales Report per Thousand</t>
  </si>
  <si>
    <t xml:space="preserve">The lowest Sales Amount</t>
  </si>
  <si>
    <t xml:space="preserve">Sales Person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</si>
  <si>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</si>
  <si>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</si>
  <si>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</si>
  <si>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</si>
  <si>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</si>
  <si>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</si>
  <si>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The highest result</t>
  </si>
  <si>
    <t xml:space="preserve">Lowest</t>
  </si>
  <si>
    <t xml:space="preserve">Highest</t>
  </si>
  <si>
    <t xml:space="preserve">Hand</t>
  </si>
  <si>
    <t xml:space="preserve">Tamer</t>
  </si>
  <si>
    <t xml:space="preserve">Othman</t>
  </si>
  <si>
    <t xml:space="preserve">Please fill the yellow cells by the related equation</t>
  </si>
  <si>
    <t xml:space="preserve">Item</t>
  </si>
  <si>
    <t xml:space="preserve">Amount</t>
  </si>
  <si>
    <t xml:space="preserve">Total Sales Amount</t>
  </si>
  <si>
    <t xml:space="preserve">Total Sold Cars</t>
  </si>
  <si>
    <t xml:space="preserve">Count of orders</t>
  </si>
  <si>
    <t xml:space="preserve">Average order Amount</t>
  </si>
  <si>
    <t xml:space="preserve">Please prepare a report for each one of sales persons results</t>
  </si>
  <si>
    <t xml:space="preserve">Please find the best sales person according to his sales amount</t>
  </si>
  <si>
    <t xml:space="preserve">Sales Person Report</t>
  </si>
  <si>
    <t xml:space="preserve">Total Cars Sold</t>
  </si>
  <si>
    <t xml:space="preserve">Number of Orders</t>
  </si>
  <si>
    <t xml:space="preserve">Best Sales Person (by Total Sales Amount)</t>
  </si>
  <si>
    <t xml:space="preserve">Please list the car prices for each order and calculate the full order amount</t>
  </si>
  <si>
    <t xml:space="preserve">Price</t>
  </si>
  <si>
    <t xml:space="preserve">Mazda</t>
  </si>
  <si>
    <t xml:space="preserve">Please  prepare a new bill for your order</t>
  </si>
  <si>
    <t xml:space="preserve">Sample order shown for demo — replace Car Type / Count with the real order</t>
  </si>
  <si>
    <t xml:space="preserve">Total Amount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</si>
</sst>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[$-409]d\-mmm\-yy"/>
    <numFmt numFmtId="166" formatCode="[$EGP]\ #,##0"/>
    <numFmt numFmtId="167" formatCode="_(* #,##0_);_(* \(#,##0\);_(* \-??_);_(@_)"/>
    <numFmt numFmtId="168" formatCode="_(\$* #,##0_);_(\$* \(#,##0\);_(\$* \-??_);_(@_)"/>
  </numFmts>
  <fonts count="17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C00000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1"/>
      <name val="Calibri"/>
      <family val="0"/>
      <charset val="1"/>
    </font>
    <font>
      <b val="true"/>
      <sz val="11"/>
      <color theme="0"/>
      <name val="Calibri"/>
      <family val="0"/>
      <charset val="1"/>
    </font>
    <font>
      <i val="true"/>
      <sz val="11"/>
      <color theme="1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name val="Calibri"/>
      <family val="0"/>
      <charset val="1"/>
    </font>
    <font>
      <sz val="11"/>
      <color rgb="FF006100"/>
      <name val="Calibri"/>
      <family val="0"/>
      <charset val="1"/>
    </font>
    <font>
      <b val="true"/>
      <sz val="11"/>
      <color theme="1"/>
      <name val="Calibri"/>
      <family val="0"/>
      <charset val="1"/>
    </font>
    <font>
      <i val="true"/>
      <sz val="9"/>
      <color rgb="FF808080"/>
      <name val="Calibri"/>
      <family val="0"/>
      <charset val="1"/>
    </font>
    <font>
      <b val="true"/>
      <sz val="12"/>
      <color rgb="FFFFFFFF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333F4F"/>
        <bgColor rgb="FF1E4E79"/>
      </patternFill>
    </fill>
    <fill>
      <patternFill patternType="solid">
        <fgColor rgb="FFEAF1F8"/>
        <bgColor rgb="FFFFFFFF"/>
      </patternFill>
    </fill>
    <fill>
      <patternFill patternType="solid">
        <fgColor rgb="FF1E4E79"/>
        <bgColor rgb="FF333F4F"/>
      </patternFill>
    </fill>
    <fill>
      <patternFill patternType="solid">
        <fgColor rgb="FFFFFF00"/>
        <bgColor rgb="FFFFFF00"/>
      </patternFill>
    </fill>
    <fill>
      <patternFill patternType="solid">
        <fgColor rgb="FFC6EFCE"/>
        <bgColor rgb="FFD9D9D9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3" borderId="1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0" fillId="3" borderId="1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7" fontId="0" fillId="3" borderId="1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5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5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5" borderId="1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6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7" fontId="0" fillId="0" borderId="7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333F4F"/>
          <bgColor rgb="FF000000"/>
        </patternFill>
      </fill>
    </dxf>
    <dxf>
      <fill>
        <patternFill patternType="solid">
          <fgColor rgb="FFEAF1F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ont>
        <name val="Calibri"/>
        <charset val="1"/>
        <family val="0"/>
        <color rgb="FF006100"/>
        <sz val="11"/>
      </font>
      <fill>
        <patternFill>
          <bgColor rgb="FFC6EFCE"/>
        </patternFill>
      </fill>
    </dxf>
    <dxf>
      <font>
        <name val="Calibri"/>
        <charset val="1"/>
        <family val="0"/>
        <color rgb="FF9C0006"/>
        <sz val="11"/>
      </font>
      <fill>
        <patternFill>
          <bgColor rgb="FFFFC7C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EAF1F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2ECC71"/>
      <rgbColor rgb="FF99CC00"/>
      <rgbColor rgb="FFF1C40F"/>
      <rgbColor rgb="FFFF9900"/>
      <rgbColor rgb="FFE74C3C"/>
      <rgbColor rgb="FF666699"/>
      <rgbColor rgb="FF969696"/>
      <rgbColor rgb="FF003366"/>
      <rgbColor rgb="FF2E86AB"/>
      <rgbColor rgb="FF003300"/>
      <rgbColor rgb="FF333300"/>
      <rgbColor rgb="FF993300"/>
      <rgbColor rgb="FF993366"/>
      <rgbColor rgb="FF1E4E79"/>
      <rgbColor rgb="FF333F4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  <a:ea typeface="Calibri"/>
              </a:rPr>
              <a:t>Order Amount per Order (Highest / Lowest highlighted)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'Task 2'!F5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2E86AB"/>
            </a:solidFill>
            <a:ln w="12600">
              <a:noFill/>
            </a:ln>
          </c:spPr>
          <c:invertIfNegative val="0"/>
          <c:dPt>
            <c:idx val="4"/>
            <c:invertIfNegative val="0"/>
            <c:spPr>
              <a:solidFill>
                <a:srgbClr val="2ECC71"/>
              </a:solidFill>
              <a:ln w="12600">
                <a:noFill/>
              </a:ln>
            </c:spPr>
          </c:dPt>
          <c:dPt>
            <c:idx val="23"/>
            <c:invertIfNegative val="0"/>
            <c:spPr>
              <a:solidFill>
                <a:srgbClr val="E74C3C"/>
              </a:solidFill>
              <a:ln w="12600">
                <a:noFill/>
              </a:ln>
            </c:spPr>
          </c:dPt>
          <c:dLbls>
            <c:dLbl>
              <c:idx val="4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3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'Task 2'!$A$6:$A$35</c:f>
              <c:strCache>
                <c:ptCount val="30"/>
                <c:pt idx="0">
                  <c:v>1-May-19</c:v>
                </c:pt>
                <c:pt idx="1">
                  <c:v>2-May-19</c:v>
                </c:pt>
                <c:pt idx="2">
                  <c:v>3-May-19</c:v>
                </c:pt>
                <c:pt idx="3">
                  <c:v>4-May-19</c:v>
                </c:pt>
                <c:pt idx="4">
                  <c:v>5-May-19</c:v>
                </c:pt>
                <c:pt idx="5">
                  <c:v>6-May-19</c:v>
                </c:pt>
                <c:pt idx="6">
                  <c:v>7-May-19</c:v>
                </c:pt>
                <c:pt idx="7">
                  <c:v>8-May-19</c:v>
                </c:pt>
                <c:pt idx="8">
                  <c:v>9-May-19</c:v>
                </c:pt>
                <c:pt idx="9">
                  <c:v>10-May-19</c:v>
                </c:pt>
                <c:pt idx="10">
                  <c:v>11-May-19</c:v>
                </c:pt>
                <c:pt idx="11">
                  <c:v>12-May-19</c:v>
                </c:pt>
                <c:pt idx="12">
                  <c:v>13-May-19</c:v>
                </c:pt>
                <c:pt idx="13">
                  <c:v>14-May-19</c:v>
                </c:pt>
                <c:pt idx="14">
                  <c:v>15-May-19</c:v>
                </c:pt>
                <c:pt idx="15">
                  <c:v>16-May-19</c:v>
                </c:pt>
                <c:pt idx="16">
                  <c:v>17-May-19</c:v>
                </c:pt>
                <c:pt idx="17">
                  <c:v>18-May-19</c:v>
                </c:pt>
                <c:pt idx="18">
                  <c:v>19-May-19</c:v>
                </c:pt>
                <c:pt idx="19">
                  <c:v>20-May-19</c:v>
                </c:pt>
                <c:pt idx="20">
                  <c:v>21-May-19</c:v>
                </c:pt>
                <c:pt idx="21">
                  <c:v>22-May-19</c:v>
                </c:pt>
                <c:pt idx="22">
                  <c:v>23-May-19</c:v>
                </c:pt>
                <c:pt idx="23">
                  <c:v>24-May-19</c:v>
                </c:pt>
                <c:pt idx="24">
                  <c:v>25-May-19</c:v>
                </c:pt>
                <c:pt idx="25">
                  <c:v>26-May-19</c:v>
                </c:pt>
                <c:pt idx="26">
                  <c:v>27-May-19</c:v>
                </c:pt>
                <c:pt idx="27">
                  <c:v>28-May-19</c:v>
                </c:pt>
                <c:pt idx="28">
                  <c:v>29-May-19</c:v>
                </c:pt>
                <c:pt idx="29">
                  <c:v>30-May-19</c:v>
                </c:pt>
              </c:strCache>
            </c:strRef>
          </c:cat>
          <c:val>
            <c:numRef>
              <c:f>'Task 2'!$F$6:$F$35</c:f>
              <c:numCache>
                <c:formatCode>[$EGP]\ #,##0</c:formatCode>
                <c:ptCount val="30"/>
                <c:pt idx="0">
                  <c:v>590000</c:v>
                </c:pt>
                <c:pt idx="1">
                  <c:v>1500000</c:v>
                </c:pt>
                <c:pt idx="2">
                  <c:v>590000</c:v>
                </c:pt>
                <c:pt idx="3">
                  <c:v>460000</c:v>
                </c:pt>
                <c:pt idx="4">
                  <c:v>2370000</c:v>
                </c:pt>
                <c:pt idx="5">
                  <c:v>750000</c:v>
                </c:pt>
                <c:pt idx="6">
                  <c:v>1770000</c:v>
                </c:pt>
                <c:pt idx="7">
                  <c:v>1500000</c:v>
                </c:pt>
                <c:pt idx="8">
                  <c:v>1770000</c:v>
                </c:pt>
                <c:pt idx="9">
                  <c:v>1500000</c:v>
                </c:pt>
                <c:pt idx="10">
                  <c:v>460000</c:v>
                </c:pt>
                <c:pt idx="11">
                  <c:v>460000</c:v>
                </c:pt>
                <c:pt idx="12">
                  <c:v>750000</c:v>
                </c:pt>
                <c:pt idx="13">
                  <c:v>1180000</c:v>
                </c:pt>
                <c:pt idx="14">
                  <c:v>750000</c:v>
                </c:pt>
                <c:pt idx="15">
                  <c:v>790000</c:v>
                </c:pt>
                <c:pt idx="16">
                  <c:v>790000</c:v>
                </c:pt>
                <c:pt idx="17">
                  <c:v>1180000</c:v>
                </c:pt>
                <c:pt idx="18">
                  <c:v>750000</c:v>
                </c:pt>
                <c:pt idx="19">
                  <c:v>590000</c:v>
                </c:pt>
                <c:pt idx="20">
                  <c:v>750000</c:v>
                </c:pt>
                <c:pt idx="21">
                  <c:v>460000</c:v>
                </c:pt>
                <c:pt idx="22">
                  <c:v>1380000</c:v>
                </c:pt>
                <c:pt idx="23">
                  <c:v>375000</c:v>
                </c:pt>
                <c:pt idx="24">
                  <c:v>1580000</c:v>
                </c:pt>
                <c:pt idx="25">
                  <c:v>590000</c:v>
                </c:pt>
                <c:pt idx="26">
                  <c:v>750000</c:v>
                </c:pt>
                <c:pt idx="27">
                  <c:v>1770000</c:v>
                </c:pt>
                <c:pt idx="28">
                  <c:v>750000</c:v>
                </c:pt>
                <c:pt idx="29">
                  <c:v>460000</c:v>
                </c:pt>
              </c:numCache>
            </c:numRef>
          </c:val>
        </c:ser>
        <c:gapWidth val="150"/>
        <c:overlap val="0"/>
        <c:axId val="86810258"/>
        <c:axId val="33041160"/>
      </c:barChart>
      <c:catAx>
        <c:axId val="8681025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Order 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[$-409]d\-mmm\-yy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33041160"/>
        <c:crosses val="autoZero"/>
        <c:auto val="1"/>
        <c:lblAlgn val="ctr"/>
        <c:lblOffset val="100"/>
        <c:noMultiLvlLbl val="0"/>
      </c:catAx>
      <c:valAx>
        <c:axId val="3304116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Order Amount (EGP)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[$EGP]\ #,##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86810258"/>
        <c:crosses val="autoZero"/>
        <c:crossBetween val="between"/>
      </c:valAx>
      <c:spPr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  <a:ea typeface="Calibri"/>
            </a:defRPr>
          </a:pPr>
        </a:p>
      </c:txPr>
    </c:legend>
    <c:plotVisOnly val="1"/>
    <c:dispBlanksAs val="gap"/>
  </c:chart>
  <c:spPr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  <a:ea typeface="Calibri"/>
              </a:rPr>
              <a:t>Target vs Lowest vs Highest Result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2E86AB"/>
            </a:solidFill>
            <a:ln w="1260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F1C40F"/>
              </a:solidFill>
              <a:ln w="12600">
                <a:noFill/>
              </a:ln>
            </c:spPr>
          </c:dPt>
          <c:dPt>
            <c:idx val="1"/>
            <c:invertIfNegative val="0"/>
            <c:spPr>
              <a:solidFill>
                <a:srgbClr val="E74C3C"/>
              </a:solidFill>
              <a:ln w="12600">
                <a:noFill/>
              </a:ln>
            </c:spPr>
          </c:dPt>
          <c:dPt>
            <c:idx val="2"/>
            <c:invertIfNegative val="0"/>
            <c:spPr>
              <a:solidFill>
                <a:srgbClr val="2ECC71"/>
              </a:solidFill>
              <a:ln w="1260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'Task 3'!$I$7:$I$9</c:f>
              <c:strCache>
                <c:ptCount val="3"/>
                <c:pt idx="0">
                  <c:v>Target</c:v>
                </c:pt>
                <c:pt idx="1">
                  <c:v>Lowest</c:v>
                </c:pt>
                <c:pt idx="2">
                  <c:v>Highest</c:v>
                </c:pt>
              </c:strCache>
            </c:strRef>
          </c:cat>
          <c:val>
            <c:numRef>
              <c:f>'Task 3'!$J$7:$J$9</c:f>
              <c:numCache>
                <c:formatCode>_(* #,##0_);_(* \(#,##0\);_(* \-??_);_(@_)</c:formatCode>
                <c:ptCount val="3"/>
                <c:pt idx="0">
                  <c:v>1000</c:v>
                </c:pt>
                <c:pt idx="1">
                  <c:v>189.84375</c:v>
                </c:pt>
                <c:pt idx="2">
                  <c:v>6831</c:v>
                </c:pt>
              </c:numCache>
            </c:numRef>
          </c:val>
        </c:ser>
        <c:gapWidth val="150"/>
        <c:overlap val="0"/>
        <c:axId val="42801970"/>
        <c:axId val="66713830"/>
      </c:barChart>
      <c:catAx>
        <c:axId val="4280197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66713830"/>
        <c:crosses val="autoZero"/>
        <c:auto val="1"/>
        <c:lblAlgn val="ctr"/>
        <c:lblOffset val="100"/>
        <c:noMultiLvlLbl val="0"/>
      </c:catAx>
      <c:valAx>
        <c:axId val="6671383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_(* #,##0_);_(* \(#,##0\);_(* \-??_);_(@_)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42801970"/>
        <c:crosses val="autoZero"/>
        <c:crossBetween val="between"/>
      </c:valAx>
      <c:spPr>
        <a:ln w="0">
          <a:noFill/>
        </a:ln>
      </c:spPr>
    </c:plotArea>
    <c:plotVisOnly val="1"/>
    <c:dispBlanksAs val="gap"/>
  </c:chart>
  <c:spPr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  <a:ea typeface="Calibri"/>
              </a:rPr>
              <a:t>Total Sales Amount by Sales Person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'Task 5'!B39</c:f>
              <c:strCache>
                <c:ptCount val="1"/>
                <c:pt idx="0">
                  <c:v>Total Sales Amount</c:v>
                </c:pt>
              </c:strCache>
            </c:strRef>
          </c:tx>
          <c:spPr>
            <a:solidFill>
              <a:srgbClr val="2E86AB"/>
            </a:solidFill>
            <a:ln w="1260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2ECC71"/>
              </a:solidFill>
              <a:ln w="1260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'Task 5'!$A$40:$A$45</c:f>
              <c:strCache>
                <c:ptCount val="6"/>
                <c:pt idx="0">
                  <c:v>Ahmed</c:v>
                </c:pt>
                <c:pt idx="1">
                  <c:v>Hossam</c:v>
                </c:pt>
                <c:pt idx="2">
                  <c:v>Abdullah</c:v>
                </c:pt>
                <c:pt idx="3">
                  <c:v>Mona</c:v>
                </c:pt>
                <c:pt idx="4">
                  <c:v>Farida</c:v>
                </c:pt>
                <c:pt idx="5">
                  <c:v>Ali</c:v>
                </c:pt>
              </c:strCache>
            </c:strRef>
          </c:cat>
          <c:val>
            <c:numRef>
              <c:f>'Task 5'!$B$40:$B$45</c:f>
              <c:numCache>
                <c:formatCode>[$EGP]\ #,##0</c:formatCode>
                <c:ptCount val="6"/>
                <c:pt idx="0">
                  <c:v>6940000</c:v>
                </c:pt>
                <c:pt idx="1">
                  <c:v>6770000</c:v>
                </c:pt>
                <c:pt idx="2">
                  <c:v>4720000</c:v>
                </c:pt>
                <c:pt idx="3">
                  <c:v>3280000</c:v>
                </c:pt>
                <c:pt idx="4">
                  <c:v>5425000</c:v>
                </c:pt>
                <c:pt idx="5">
                  <c:v>2230000</c:v>
                </c:pt>
              </c:numCache>
            </c:numRef>
          </c:val>
        </c:ser>
        <c:gapWidth val="150"/>
        <c:overlap val="0"/>
        <c:axId val="58869434"/>
        <c:axId val="88196596"/>
      </c:barChart>
      <c:catAx>
        <c:axId val="58869434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Total Sales Amount (EGP)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88196596"/>
        <c:crosses val="autoZero"/>
        <c:auto val="1"/>
        <c:lblAlgn val="ctr"/>
        <c:lblOffset val="100"/>
        <c:noMultiLvlLbl val="0"/>
      </c:catAx>
      <c:valAx>
        <c:axId val="8819659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Sales Person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[$EGP]\ #,##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58869434"/>
        <c:crosses val="autoZero"/>
        <c:crossBetween val="between"/>
      </c:valAx>
      <c:spPr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  <a:ea typeface="Calibri"/>
            </a:defRPr>
          </a:pPr>
        </a:p>
      </c:txPr>
    </c:legend>
    <c:plotVisOnly val="1"/>
    <c:dispBlanksAs val="gap"/>
  </c:chart>
  <c:spPr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3</xdr:row>
      <xdr:rowOff>0</xdr:rowOff>
    </xdr:from>
    <xdr:to>
      <xdr:col>18</xdr:col>
      <xdr:colOff>234360</xdr:colOff>
      <xdr:row>18</xdr:row>
      <xdr:rowOff>22320</xdr:rowOff>
    </xdr:to>
    <xdr:graphicFrame>
      <xdr:nvGraphicFramePr>
        <xdr:cNvPr id="1" name="Chart 1"/>
        <xdr:cNvGraphicFramePr/>
      </xdr:nvGraphicFramePr>
      <xdr:xfrm>
        <a:off x="5725800" y="571680"/>
        <a:ext cx="71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16</xdr:row>
      <xdr:rowOff>0</xdr:rowOff>
    </xdr:from>
    <xdr:to>
      <xdr:col>5</xdr:col>
      <xdr:colOff>519840</xdr:colOff>
      <xdr:row>28</xdr:row>
      <xdr:rowOff>157680</xdr:rowOff>
    </xdr:to>
    <xdr:graphicFrame>
      <xdr:nvGraphicFramePr>
        <xdr:cNvPr id="2" name="Chart 1"/>
        <xdr:cNvGraphicFramePr/>
      </xdr:nvGraphicFramePr>
      <xdr:xfrm>
        <a:off x="0" y="3048120"/>
        <a:ext cx="359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37</xdr:row>
      <xdr:rowOff>0</xdr:rowOff>
    </xdr:from>
    <xdr:to>
      <xdr:col>13</xdr:col>
      <xdr:colOff>480960</xdr:colOff>
      <xdr:row>51</xdr:row>
      <xdr:rowOff>79200</xdr:rowOff>
    </xdr:to>
    <xdr:graphicFrame>
      <xdr:nvGraphicFramePr>
        <xdr:cNvPr id="3" name="Chart 1"/>
        <xdr:cNvGraphicFramePr/>
      </xdr:nvGraphicFramePr>
      <xdr:xfrm>
        <a:off x="6084720" y="721044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14.390625" defaultRowHeight="15" customHeight="true" zeroHeight="false" outlineLevelRow="0" outlineLevelCol="0"/>
  <cols>
    <col collapsed="false" customWidth="true" hidden="false" outlineLevel="0" max="1" min="1" style="1" width="11.03"/>
    <col collapsed="false" customWidth="true" hidden="false" outlineLevel="0" max="2" min="2" style="1" width="17.22"/>
    <col collapsed="false" customWidth="true" hidden="false" outlineLevel="0" max="3" min="3" style="1" width="12.24"/>
    <col collapsed="false" customWidth="true" hidden="false" outlineLevel="0" max="4" min="4" style="1" width="11.97"/>
    <col collapsed="false" customWidth="true" hidden="false" outlineLevel="0" max="5" min="5" style="1" width="6.32"/>
    <col collapsed="false" customWidth="true" hidden="false" outlineLevel="0" max="11" min="6" style="1" width="13.72"/>
    <col collapsed="false" customWidth="true" hidden="false" outlineLevel="0" max="12" min="12" style="1" width="11.7"/>
    <col collapsed="false" customWidth="true" hidden="false" outlineLevel="0" max="13" min="13" style="1" width="6.99"/>
    <col collapsed="false" customWidth="true" hidden="false" outlineLevel="0" max="18" min="14" style="1" width="8.74"/>
    <col collapsed="false" customWidth="true" hidden="false" outlineLevel="0" max="19" min="19" style="1" width="13.03"/>
    <col collapsed="false" customWidth="true" hidden="false" outlineLevel="0" max="20" min="20" style="1" width="17.22"/>
    <col collapsed="false" customWidth="true" hidden="false" outlineLevel="0" max="21" min="21" style="1" width="12.23"/>
    <col collapsed="false" customWidth="true" hidden="false" outlineLevel="0" max="22" min="22" style="1" width="11.97"/>
    <col collapsed="false" customWidth="true" hidden="false" outlineLevel="0" max="23" min="23" style="1" width="6.32"/>
    <col collapsed="false" customWidth="true" hidden="false" outlineLevel="0" max="24" min="24" style="1" width="13.72"/>
    <col collapsed="false" customWidth="true" hidden="false" outlineLevel="0" max="25" min="25" style="1" width="14.13"/>
    <col collapsed="false" customWidth="true" hidden="false" outlineLevel="0" max="26" min="26" style="1" width="8.74"/>
  </cols>
  <sheetData>
    <row r="1" customFormat="false" ht="15" hidden="false" customHeight="true" outlineLevel="0" collapsed="false">
      <c r="A1" s="2" t="s">
        <v>0</v>
      </c>
    </row>
    <row r="4" customFormat="false" ht="15.75" hidden="false" customHeight="true" outlineLevel="0" collapsed="false">
      <c r="A4" s="3" t="s">
        <v>1</v>
      </c>
      <c r="B4" s="3"/>
      <c r="C4" s="3"/>
      <c r="D4" s="3"/>
      <c r="E4" s="3"/>
      <c r="F4" s="3"/>
    </row>
    <row r="5" customFormat="false" ht="15.75" hidden="false" customHeight="true" outlineLevel="0" collapsed="false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</row>
    <row r="6" customFormat="false" ht="15.75" hidden="false" customHeight="true" outlineLevel="0" collapsed="false">
      <c r="A6" s="5" t="n">
        <v>43586</v>
      </c>
      <c r="B6" s="6" t="s">
        <v>8</v>
      </c>
      <c r="C6" s="6" t="s">
        <v>9</v>
      </c>
      <c r="D6" s="7" t="n">
        <v>590000</v>
      </c>
      <c r="E6" s="8" t="n">
        <v>1</v>
      </c>
      <c r="F6" s="7" t="n">
        <f aca="false">D6*E6</f>
        <v>590000</v>
      </c>
      <c r="Y6" s="9"/>
    </row>
    <row r="7" customFormat="false" ht="15.75" hidden="false" customHeight="true" outlineLevel="0" collapsed="false">
      <c r="A7" s="10" t="n">
        <v>43587</v>
      </c>
      <c r="B7" s="11" t="s">
        <v>10</v>
      </c>
      <c r="C7" s="11" t="s">
        <v>11</v>
      </c>
      <c r="D7" s="12" t="n">
        <v>750000</v>
      </c>
      <c r="E7" s="13" t="n">
        <v>2</v>
      </c>
      <c r="F7" s="12" t="n">
        <f aca="false">D7*E7</f>
        <v>1500000</v>
      </c>
      <c r="Y7" s="9"/>
    </row>
    <row r="8" customFormat="false" ht="15.75" hidden="false" customHeight="true" outlineLevel="0" collapsed="false">
      <c r="A8" s="5" t="n">
        <v>43588</v>
      </c>
      <c r="B8" s="6" t="s">
        <v>12</v>
      </c>
      <c r="C8" s="6" t="s">
        <v>9</v>
      </c>
      <c r="D8" s="7" t="n">
        <v>590000</v>
      </c>
      <c r="E8" s="8" t="n">
        <v>1</v>
      </c>
      <c r="F8" s="7" t="n">
        <f aca="false">D8*E8</f>
        <v>590000</v>
      </c>
      <c r="Y8" s="9"/>
    </row>
    <row r="9" customFormat="false" ht="15.75" hidden="false" customHeight="true" outlineLevel="0" collapsed="false">
      <c r="A9" s="10" t="n">
        <v>43589</v>
      </c>
      <c r="B9" s="11" t="s">
        <v>13</v>
      </c>
      <c r="C9" s="11" t="s">
        <v>14</v>
      </c>
      <c r="D9" s="12" t="n">
        <v>460000</v>
      </c>
      <c r="E9" s="13" t="n">
        <v>1</v>
      </c>
      <c r="F9" s="12" t="n">
        <f aca="false">D9*E9</f>
        <v>460000</v>
      </c>
      <c r="Y9" s="9"/>
    </row>
    <row r="10" customFormat="false" ht="15.75" hidden="false" customHeight="true" outlineLevel="0" collapsed="false">
      <c r="A10" s="5" t="n">
        <v>43590</v>
      </c>
      <c r="B10" s="6" t="s">
        <v>15</v>
      </c>
      <c r="C10" s="6" t="s">
        <v>16</v>
      </c>
      <c r="D10" s="7" t="n">
        <v>790000</v>
      </c>
      <c r="E10" s="8" t="n">
        <v>3</v>
      </c>
      <c r="F10" s="7" t="n">
        <f aca="false">D10*E10</f>
        <v>2370000</v>
      </c>
      <c r="Y10" s="9"/>
    </row>
    <row r="11" customFormat="false" ht="15.75" hidden="false" customHeight="true" outlineLevel="0" collapsed="false">
      <c r="A11" s="10" t="n">
        <v>43591</v>
      </c>
      <c r="B11" s="11" t="s">
        <v>8</v>
      </c>
      <c r="C11" s="11" t="s">
        <v>17</v>
      </c>
      <c r="D11" s="12" t="n">
        <v>375000</v>
      </c>
      <c r="E11" s="13" t="n">
        <v>2</v>
      </c>
      <c r="F11" s="12" t="n">
        <f aca="false">D11*E11</f>
        <v>750000</v>
      </c>
      <c r="Y11" s="9"/>
    </row>
    <row r="12" customFormat="false" ht="15.75" hidden="false" customHeight="true" outlineLevel="0" collapsed="false">
      <c r="A12" s="5" t="n">
        <v>43592</v>
      </c>
      <c r="B12" s="6" t="s">
        <v>10</v>
      </c>
      <c r="C12" s="6" t="s">
        <v>9</v>
      </c>
      <c r="D12" s="7" t="n">
        <v>590000</v>
      </c>
      <c r="E12" s="8" t="n">
        <v>3</v>
      </c>
      <c r="F12" s="7" t="n">
        <f aca="false">D12*E12</f>
        <v>1770000</v>
      </c>
      <c r="Y12" s="9"/>
    </row>
    <row r="13" customFormat="false" ht="15.75" hidden="false" customHeight="true" outlineLevel="0" collapsed="false">
      <c r="A13" s="10" t="n">
        <v>43593</v>
      </c>
      <c r="B13" s="11" t="s">
        <v>8</v>
      </c>
      <c r="C13" s="11" t="s">
        <v>11</v>
      </c>
      <c r="D13" s="12" t="n">
        <v>750000</v>
      </c>
      <c r="E13" s="13" t="n">
        <v>2</v>
      </c>
      <c r="F13" s="12" t="n">
        <f aca="false">D13*E13</f>
        <v>1500000</v>
      </c>
      <c r="Y13" s="9"/>
    </row>
    <row r="14" customFormat="false" ht="15.75" hidden="false" customHeight="true" outlineLevel="0" collapsed="false">
      <c r="A14" s="5" t="n">
        <v>43594</v>
      </c>
      <c r="B14" s="6" t="s">
        <v>13</v>
      </c>
      <c r="C14" s="6" t="s">
        <v>9</v>
      </c>
      <c r="D14" s="7" t="n">
        <v>590000</v>
      </c>
      <c r="E14" s="8" t="n">
        <v>3</v>
      </c>
      <c r="F14" s="7" t="n">
        <f aca="false">D14*E14</f>
        <v>1770000</v>
      </c>
      <c r="Y14" s="9"/>
    </row>
    <row r="15" customFormat="false" ht="15.75" hidden="false" customHeight="true" outlineLevel="0" collapsed="false">
      <c r="A15" s="10" t="n">
        <v>43595</v>
      </c>
      <c r="B15" s="11" t="s">
        <v>12</v>
      </c>
      <c r="C15" s="11" t="s">
        <v>11</v>
      </c>
      <c r="D15" s="12" t="n">
        <v>750000</v>
      </c>
      <c r="E15" s="13" t="n">
        <v>2</v>
      </c>
      <c r="F15" s="12" t="n">
        <f aca="false">D15*E15</f>
        <v>1500000</v>
      </c>
      <c r="Y15" s="9"/>
    </row>
    <row r="16" customFormat="false" ht="15.75" hidden="false" customHeight="true" outlineLevel="0" collapsed="false">
      <c r="A16" s="5" t="n">
        <v>43596</v>
      </c>
      <c r="B16" s="6" t="s">
        <v>10</v>
      </c>
      <c r="C16" s="6" t="s">
        <v>14</v>
      </c>
      <c r="D16" s="7" t="n">
        <v>460000</v>
      </c>
      <c r="E16" s="8" t="n">
        <v>1</v>
      </c>
      <c r="F16" s="7" t="n">
        <f aca="false">D16*E16</f>
        <v>460000</v>
      </c>
      <c r="Y16" s="9"/>
    </row>
    <row r="17" customFormat="false" ht="15.75" hidden="false" customHeight="true" outlineLevel="0" collapsed="false">
      <c r="A17" s="10" t="n">
        <v>43597</v>
      </c>
      <c r="B17" s="11" t="s">
        <v>13</v>
      </c>
      <c r="C17" s="11" t="s">
        <v>14</v>
      </c>
      <c r="D17" s="12" t="n">
        <v>460000</v>
      </c>
      <c r="E17" s="13" t="n">
        <v>1</v>
      </c>
      <c r="F17" s="12" t="n">
        <f aca="false">D17*E17</f>
        <v>460000</v>
      </c>
      <c r="Y17" s="9"/>
    </row>
    <row r="18" customFormat="false" ht="15.75" hidden="false" customHeight="true" outlineLevel="0" collapsed="false">
      <c r="A18" s="5" t="n">
        <v>43598</v>
      </c>
      <c r="B18" s="6" t="s">
        <v>15</v>
      </c>
      <c r="C18" s="6" t="s">
        <v>11</v>
      </c>
      <c r="D18" s="7" t="n">
        <v>750000</v>
      </c>
      <c r="E18" s="8" t="n">
        <v>1</v>
      </c>
      <c r="F18" s="7" t="n">
        <f aca="false">D18*E18</f>
        <v>750000</v>
      </c>
      <c r="Y18" s="9"/>
    </row>
    <row r="19" customFormat="false" ht="15.75" hidden="false" customHeight="true" outlineLevel="0" collapsed="false">
      <c r="A19" s="10" t="n">
        <v>43599</v>
      </c>
      <c r="B19" s="11" t="s">
        <v>15</v>
      </c>
      <c r="C19" s="11" t="s">
        <v>9</v>
      </c>
      <c r="D19" s="12" t="n">
        <v>590000</v>
      </c>
      <c r="E19" s="13" t="n">
        <v>2</v>
      </c>
      <c r="F19" s="12" t="n">
        <f aca="false">D19*E19</f>
        <v>1180000</v>
      </c>
      <c r="Y19" s="9"/>
    </row>
    <row r="20" customFormat="false" ht="15.75" hidden="false" customHeight="true" outlineLevel="0" collapsed="false">
      <c r="A20" s="5" t="n">
        <v>43600</v>
      </c>
      <c r="B20" s="6" t="s">
        <v>8</v>
      </c>
      <c r="C20" s="6" t="s">
        <v>17</v>
      </c>
      <c r="D20" s="7" t="n">
        <v>375000</v>
      </c>
      <c r="E20" s="8" t="n">
        <v>2</v>
      </c>
      <c r="F20" s="7" t="n">
        <f aca="false">D20*E20</f>
        <v>750000</v>
      </c>
      <c r="Y20" s="9"/>
    </row>
    <row r="21" customFormat="false" ht="15.75" hidden="false" customHeight="true" outlineLevel="0" collapsed="false">
      <c r="A21" s="10" t="n">
        <v>43601</v>
      </c>
      <c r="B21" s="11" t="s">
        <v>10</v>
      </c>
      <c r="C21" s="11" t="s">
        <v>16</v>
      </c>
      <c r="D21" s="12" t="n">
        <v>790000</v>
      </c>
      <c r="E21" s="13" t="n">
        <v>1</v>
      </c>
      <c r="F21" s="12" t="n">
        <f aca="false">D21*E21</f>
        <v>790000</v>
      </c>
      <c r="Y21" s="9"/>
    </row>
    <row r="22" customFormat="false" ht="15.75" hidden="false" customHeight="true" outlineLevel="0" collapsed="false">
      <c r="A22" s="5" t="n">
        <v>43602</v>
      </c>
      <c r="B22" s="6" t="s">
        <v>12</v>
      </c>
      <c r="C22" s="6" t="s">
        <v>16</v>
      </c>
      <c r="D22" s="7" t="n">
        <v>790000</v>
      </c>
      <c r="E22" s="8" t="n">
        <v>1</v>
      </c>
      <c r="F22" s="7" t="n">
        <f aca="false">D22*E22</f>
        <v>790000</v>
      </c>
      <c r="Y22" s="9"/>
    </row>
    <row r="23" customFormat="false" ht="15.75" hidden="false" customHeight="true" outlineLevel="0" collapsed="false">
      <c r="A23" s="10" t="n">
        <v>43603</v>
      </c>
      <c r="B23" s="11" t="s">
        <v>18</v>
      </c>
      <c r="C23" s="11" t="s">
        <v>9</v>
      </c>
      <c r="D23" s="12" t="n">
        <v>590000</v>
      </c>
      <c r="E23" s="13" t="n">
        <v>2</v>
      </c>
      <c r="F23" s="12" t="n">
        <f aca="false">D23*E23</f>
        <v>1180000</v>
      </c>
      <c r="Y23" s="9"/>
    </row>
    <row r="24" customFormat="false" ht="15.75" hidden="false" customHeight="true" outlineLevel="0" collapsed="false">
      <c r="A24" s="5" t="n">
        <v>43604</v>
      </c>
      <c r="B24" s="6" t="s">
        <v>10</v>
      </c>
      <c r="C24" s="6" t="s">
        <v>17</v>
      </c>
      <c r="D24" s="7" t="n">
        <v>375000</v>
      </c>
      <c r="E24" s="8" t="n">
        <v>1</v>
      </c>
      <c r="F24" s="7" t="n">
        <f aca="false">D24*E24</f>
        <v>375000</v>
      </c>
      <c r="Y24" s="9"/>
    </row>
    <row r="25" customFormat="false" ht="15.75" hidden="false" customHeight="true" outlineLevel="0" collapsed="false">
      <c r="A25" s="10" t="n">
        <v>43605</v>
      </c>
      <c r="B25" s="11" t="s">
        <v>18</v>
      </c>
      <c r="C25" s="11" t="s">
        <v>9</v>
      </c>
      <c r="D25" s="12" t="n">
        <v>590000</v>
      </c>
      <c r="E25" s="13" t="n">
        <v>1</v>
      </c>
      <c r="F25" s="12" t="n">
        <f aca="false">D25*E25</f>
        <v>590000</v>
      </c>
      <c r="Y25" s="9"/>
    </row>
    <row r="26" customFormat="false" ht="15.75" hidden="false" customHeight="true" outlineLevel="0" collapsed="false">
      <c r="A26" s="5" t="n">
        <v>43606</v>
      </c>
      <c r="B26" s="6" t="s">
        <v>15</v>
      </c>
      <c r="C26" s="6" t="s">
        <v>11</v>
      </c>
      <c r="D26" s="7" t="n">
        <v>750000</v>
      </c>
      <c r="E26" s="8" t="n">
        <v>1</v>
      </c>
      <c r="F26" s="7" t="n">
        <f aca="false">D26*E26</f>
        <v>750000</v>
      </c>
      <c r="Y26" s="9"/>
    </row>
    <row r="27" customFormat="false" ht="15.75" hidden="false" customHeight="true" outlineLevel="0" collapsed="false">
      <c r="A27" s="10" t="n">
        <v>43607</v>
      </c>
      <c r="B27" s="11" t="s">
        <v>12</v>
      </c>
      <c r="C27" s="11" t="s">
        <v>14</v>
      </c>
      <c r="D27" s="12" t="n">
        <v>460000</v>
      </c>
      <c r="E27" s="13" t="n">
        <v>1</v>
      </c>
      <c r="F27" s="12" t="n">
        <f aca="false">D27*E27</f>
        <v>460000</v>
      </c>
      <c r="Y27" s="9"/>
    </row>
    <row r="28" customFormat="false" ht="15.75" hidden="false" customHeight="true" outlineLevel="0" collapsed="false">
      <c r="A28" s="5" t="n">
        <v>43608</v>
      </c>
      <c r="B28" s="6" t="s">
        <v>12</v>
      </c>
      <c r="C28" s="6" t="s">
        <v>14</v>
      </c>
      <c r="D28" s="7" t="n">
        <v>460000</v>
      </c>
      <c r="E28" s="8" t="n">
        <v>3</v>
      </c>
      <c r="F28" s="7" t="n">
        <f aca="false">D28*E28</f>
        <v>1380000</v>
      </c>
      <c r="Y28" s="9"/>
    </row>
    <row r="29" customFormat="false" ht="15.75" hidden="false" customHeight="true" outlineLevel="0" collapsed="false">
      <c r="A29" s="10" t="n">
        <v>43609</v>
      </c>
      <c r="B29" s="11" t="s">
        <v>15</v>
      </c>
      <c r="C29" s="11" t="s">
        <v>17</v>
      </c>
      <c r="D29" s="12" t="n">
        <v>375000</v>
      </c>
      <c r="E29" s="13" t="n">
        <v>1</v>
      </c>
      <c r="F29" s="12" t="n">
        <f aca="false">D29*E29</f>
        <v>375000</v>
      </c>
      <c r="Y29" s="9"/>
    </row>
    <row r="30" customFormat="false" ht="15.75" hidden="false" customHeight="true" outlineLevel="0" collapsed="false">
      <c r="A30" s="5" t="n">
        <v>43610</v>
      </c>
      <c r="B30" s="6" t="s">
        <v>8</v>
      </c>
      <c r="C30" s="6" t="s">
        <v>16</v>
      </c>
      <c r="D30" s="7" t="n">
        <v>790000</v>
      </c>
      <c r="E30" s="8" t="n">
        <v>2</v>
      </c>
      <c r="F30" s="7" t="n">
        <f aca="false">D30*E30</f>
        <v>1580000</v>
      </c>
      <c r="Y30" s="9"/>
    </row>
    <row r="31" customFormat="false" ht="15.75" hidden="false" customHeight="true" outlineLevel="0" collapsed="false">
      <c r="A31" s="10" t="n">
        <v>43611</v>
      </c>
      <c r="B31" s="11" t="s">
        <v>13</v>
      </c>
      <c r="C31" s="11" t="s">
        <v>9</v>
      </c>
      <c r="D31" s="12" t="n">
        <v>590000</v>
      </c>
      <c r="E31" s="13" t="n">
        <v>1</v>
      </c>
      <c r="F31" s="12" t="n">
        <f aca="false">D31*E31</f>
        <v>590000</v>
      </c>
      <c r="Y31" s="9"/>
    </row>
    <row r="32" customFormat="false" ht="15.75" hidden="false" customHeight="true" outlineLevel="0" collapsed="false">
      <c r="A32" s="5" t="n">
        <v>43612</v>
      </c>
      <c r="B32" s="6" t="s">
        <v>10</v>
      </c>
      <c r="C32" s="6" t="s">
        <v>17</v>
      </c>
      <c r="D32" s="7" t="n">
        <v>375000</v>
      </c>
      <c r="E32" s="8" t="n">
        <v>1</v>
      </c>
      <c r="F32" s="7" t="n">
        <f aca="false">D32*E32</f>
        <v>375000</v>
      </c>
      <c r="Y32" s="9"/>
    </row>
    <row r="33" customFormat="false" ht="15.75" hidden="false" customHeight="true" outlineLevel="0" collapsed="false">
      <c r="A33" s="10" t="n">
        <v>43613</v>
      </c>
      <c r="B33" s="11" t="s">
        <v>8</v>
      </c>
      <c r="C33" s="11" t="s">
        <v>9</v>
      </c>
      <c r="D33" s="12" t="n">
        <v>590000</v>
      </c>
      <c r="E33" s="13" t="n">
        <v>3</v>
      </c>
      <c r="F33" s="12" t="n">
        <f aca="false">D33*E33</f>
        <v>1770000</v>
      </c>
      <c r="Y33" s="9"/>
    </row>
    <row r="34" customFormat="false" ht="15.75" hidden="false" customHeight="true" outlineLevel="0" collapsed="false">
      <c r="A34" s="5" t="n">
        <v>43614</v>
      </c>
      <c r="B34" s="6" t="s">
        <v>10</v>
      </c>
      <c r="C34" s="6" t="s">
        <v>11</v>
      </c>
      <c r="D34" s="7" t="n">
        <v>750000</v>
      </c>
      <c r="E34" s="8" t="n">
        <v>1</v>
      </c>
      <c r="F34" s="7" t="n">
        <f aca="false">D34*E34</f>
        <v>750000</v>
      </c>
      <c r="Y34" s="9"/>
    </row>
    <row r="35" customFormat="false" ht="15.75" hidden="false" customHeight="true" outlineLevel="0" collapsed="false">
      <c r="A35" s="10" t="n">
        <v>43615</v>
      </c>
      <c r="B35" s="11" t="s">
        <v>18</v>
      </c>
      <c r="C35" s="11" t="s">
        <v>14</v>
      </c>
      <c r="D35" s="12" t="n">
        <v>460000</v>
      </c>
      <c r="E35" s="13" t="n">
        <v>1</v>
      </c>
      <c r="F35" s="12" t="n">
        <f aca="false">D35*E35</f>
        <v>460000</v>
      </c>
      <c r="Y35" s="9"/>
    </row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autoFilter ref="A5:F35"/>
  <mergeCells count="1">
    <mergeCell ref="A4:F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390625" defaultRowHeight="15" customHeight="true" zeroHeight="false" outlineLevelRow="0" outlineLevelCol="0"/>
  <cols>
    <col collapsed="false" customWidth="true" hidden="false" outlineLevel="0" max="1" min="1" style="1" width="11.03"/>
    <col collapsed="false" customWidth="true" hidden="false" outlineLevel="0" max="2" min="2" style="1" width="17.22"/>
    <col collapsed="false" customWidth="true" hidden="false" outlineLevel="0" max="3" min="3" style="1" width="12.23"/>
    <col collapsed="false" customWidth="true" hidden="false" outlineLevel="0" max="4" min="4" style="1" width="11.97"/>
    <col collapsed="false" customWidth="true" hidden="false" outlineLevel="0" max="5" min="5" style="1" width="6.32"/>
    <col collapsed="false" customWidth="true" hidden="false" outlineLevel="0" max="6" min="6" style="1" width="13.72"/>
    <col collapsed="false" customWidth="true" hidden="false" outlineLevel="0" max="7" min="7" style="1" width="8.74"/>
    <col collapsed="false" customWidth="true" hidden="false" outlineLevel="0" max="8" min="8" style="1" width="11.43"/>
    <col collapsed="false" customWidth="true" hidden="false" outlineLevel="0" max="26" min="9" style="1" width="8.74"/>
  </cols>
  <sheetData>
    <row r="1" customFormat="false" ht="15" hidden="false" customHeight="true" outlineLevel="0" collapsed="false">
      <c r="A1" s="2" t="s">
        <v>19</v>
      </c>
    </row>
    <row r="4" customFormat="false" ht="15" hidden="false" customHeight="true" outlineLevel="0" collapsed="false">
      <c r="A4" s="14" t="s">
        <v>1</v>
      </c>
      <c r="B4" s="14"/>
      <c r="C4" s="14"/>
    </row>
    <row r="5" customFormat="false" ht="15" hidden="false" customHeight="true" outlineLevel="0" collapsed="false">
      <c r="A5" s="15" t="s">
        <v>2</v>
      </c>
      <c r="B5" s="15" t="s">
        <v>3</v>
      </c>
      <c r="C5" s="15" t="s">
        <v>4</v>
      </c>
      <c r="D5" s="15" t="s">
        <v>5</v>
      </c>
      <c r="E5" s="15" t="s">
        <v>6</v>
      </c>
      <c r="F5" s="15" t="s">
        <v>7</v>
      </c>
    </row>
    <row r="6" customFormat="false" ht="15" hidden="false" customHeight="true" outlineLevel="0" collapsed="false">
      <c r="A6" s="16" t="n">
        <v>43586</v>
      </c>
      <c r="B6" s="17" t="s">
        <v>8</v>
      </c>
      <c r="C6" s="17" t="s">
        <v>9</v>
      </c>
      <c r="D6" s="18" t="n">
        <v>590000</v>
      </c>
      <c r="E6" s="19" t="n">
        <v>1</v>
      </c>
      <c r="F6" s="18" t="n">
        <f aca="false">D6*E6</f>
        <v>590000</v>
      </c>
      <c r="H6" s="20"/>
    </row>
    <row r="7" customFormat="false" ht="15" hidden="false" customHeight="true" outlineLevel="0" collapsed="false">
      <c r="A7" s="21" t="n">
        <v>43587</v>
      </c>
      <c r="B7" s="22" t="s">
        <v>10</v>
      </c>
      <c r="C7" s="22" t="s">
        <v>11</v>
      </c>
      <c r="D7" s="23" t="n">
        <v>750000</v>
      </c>
      <c r="E7" s="24" t="n">
        <v>2</v>
      </c>
      <c r="F7" s="23" t="n">
        <f aca="false">D7*E7</f>
        <v>1500000</v>
      </c>
    </row>
    <row r="8" customFormat="false" ht="15" hidden="false" customHeight="true" outlineLevel="0" collapsed="false">
      <c r="A8" s="16" t="n">
        <v>43588</v>
      </c>
      <c r="B8" s="17" t="s">
        <v>12</v>
      </c>
      <c r="C8" s="17" t="s">
        <v>9</v>
      </c>
      <c r="D8" s="18" t="n">
        <v>590000</v>
      </c>
      <c r="E8" s="19" t="n">
        <v>1</v>
      </c>
      <c r="F8" s="18" t="n">
        <f aca="false">D8*E8</f>
        <v>590000</v>
      </c>
    </row>
    <row r="9" customFormat="false" ht="15" hidden="false" customHeight="true" outlineLevel="0" collapsed="false">
      <c r="A9" s="21" t="n">
        <v>43589</v>
      </c>
      <c r="B9" s="22" t="s">
        <v>13</v>
      </c>
      <c r="C9" s="22" t="s">
        <v>14</v>
      </c>
      <c r="D9" s="23" t="n">
        <v>460000</v>
      </c>
      <c r="E9" s="24" t="n">
        <v>1</v>
      </c>
      <c r="F9" s="23" t="n">
        <f aca="false">D9*E9</f>
        <v>460000</v>
      </c>
    </row>
    <row r="10" customFormat="false" ht="15" hidden="false" customHeight="true" outlineLevel="0" collapsed="false">
      <c r="A10" s="16" t="n">
        <v>43590</v>
      </c>
      <c r="B10" s="17" t="s">
        <v>15</v>
      </c>
      <c r="C10" s="25" t="s">
        <v>16</v>
      </c>
      <c r="D10" s="26" t="n">
        <v>790000</v>
      </c>
      <c r="E10" s="19" t="n">
        <v>3</v>
      </c>
      <c r="F10" s="26" t="n">
        <f aca="false">D10*E10</f>
        <v>2370000</v>
      </c>
    </row>
    <row r="11" customFormat="false" ht="15" hidden="false" customHeight="true" outlineLevel="0" collapsed="false">
      <c r="A11" s="21" t="n">
        <v>43591</v>
      </c>
      <c r="B11" s="22" t="s">
        <v>8</v>
      </c>
      <c r="C11" s="22" t="s">
        <v>17</v>
      </c>
      <c r="D11" s="23" t="n">
        <v>375000</v>
      </c>
      <c r="E11" s="24" t="n">
        <v>2</v>
      </c>
      <c r="F11" s="23" t="n">
        <f aca="false">D11*E11</f>
        <v>750000</v>
      </c>
    </row>
    <row r="12" customFormat="false" ht="15" hidden="false" customHeight="true" outlineLevel="0" collapsed="false">
      <c r="A12" s="16" t="n">
        <v>43592</v>
      </c>
      <c r="B12" s="17" t="s">
        <v>10</v>
      </c>
      <c r="C12" s="17" t="s">
        <v>9</v>
      </c>
      <c r="D12" s="26" t="n">
        <v>590000</v>
      </c>
      <c r="E12" s="19" t="n">
        <v>3</v>
      </c>
      <c r="F12" s="26" t="n">
        <f aca="false">D12*E12</f>
        <v>1770000</v>
      </c>
    </row>
    <row r="13" customFormat="false" ht="15" hidden="false" customHeight="true" outlineLevel="0" collapsed="false">
      <c r="A13" s="21" t="n">
        <v>43593</v>
      </c>
      <c r="B13" s="22" t="s">
        <v>8</v>
      </c>
      <c r="C13" s="22" t="s">
        <v>11</v>
      </c>
      <c r="D13" s="23" t="n">
        <v>750000</v>
      </c>
      <c r="E13" s="24" t="n">
        <v>2</v>
      </c>
      <c r="F13" s="23" t="n">
        <f aca="false">D13*E13</f>
        <v>1500000</v>
      </c>
    </row>
    <row r="14" customFormat="false" ht="15" hidden="false" customHeight="true" outlineLevel="0" collapsed="false">
      <c r="A14" s="27" t="n">
        <v>43594</v>
      </c>
      <c r="B14" s="25" t="s">
        <v>13</v>
      </c>
      <c r="C14" s="17" t="s">
        <v>9</v>
      </c>
      <c r="D14" s="26" t="n">
        <v>590000</v>
      </c>
      <c r="E14" s="19" t="n">
        <v>3</v>
      </c>
      <c r="F14" s="26" t="n">
        <f aca="false">D14*E14</f>
        <v>1770000</v>
      </c>
    </row>
    <row r="15" customFormat="false" ht="15" hidden="false" customHeight="true" outlineLevel="0" collapsed="false">
      <c r="A15" s="21" t="n">
        <v>43595</v>
      </c>
      <c r="B15" s="22" t="s">
        <v>12</v>
      </c>
      <c r="C15" s="22" t="s">
        <v>11</v>
      </c>
      <c r="D15" s="23" t="n">
        <v>750000</v>
      </c>
      <c r="E15" s="24" t="n">
        <v>2</v>
      </c>
      <c r="F15" s="23" t="n">
        <f aca="false">D15*E15</f>
        <v>1500000</v>
      </c>
    </row>
    <row r="16" customFormat="false" ht="15" hidden="false" customHeight="true" outlineLevel="0" collapsed="false">
      <c r="A16" s="16" t="n">
        <v>43596</v>
      </c>
      <c r="B16" s="17" t="s">
        <v>10</v>
      </c>
      <c r="C16" s="25" t="s">
        <v>14</v>
      </c>
      <c r="D16" s="18" t="n">
        <v>460000</v>
      </c>
      <c r="E16" s="19" t="n">
        <v>1</v>
      </c>
      <c r="F16" s="18" t="n">
        <f aca="false">D16*E16</f>
        <v>460000</v>
      </c>
    </row>
    <row r="17" customFormat="false" ht="15" hidden="false" customHeight="true" outlineLevel="0" collapsed="false">
      <c r="A17" s="21" t="n">
        <v>43597</v>
      </c>
      <c r="B17" s="28" t="s">
        <v>13</v>
      </c>
      <c r="C17" s="22" t="s">
        <v>14</v>
      </c>
      <c r="D17" s="23" t="n">
        <v>460000</v>
      </c>
      <c r="E17" s="29" t="n">
        <v>1</v>
      </c>
      <c r="F17" s="23" t="n">
        <f aca="false">D17*E17</f>
        <v>460000</v>
      </c>
    </row>
    <row r="18" customFormat="false" ht="15" hidden="false" customHeight="true" outlineLevel="0" collapsed="false">
      <c r="A18" s="16" t="n">
        <v>43598</v>
      </c>
      <c r="B18" s="17" t="s">
        <v>15</v>
      </c>
      <c r="C18" s="25" t="s">
        <v>11</v>
      </c>
      <c r="D18" s="26" t="n">
        <v>750000</v>
      </c>
      <c r="E18" s="19" t="n">
        <v>1</v>
      </c>
      <c r="F18" s="26" t="n">
        <f aca="false">D18*E18</f>
        <v>750000</v>
      </c>
    </row>
    <row r="19" customFormat="false" ht="15" hidden="false" customHeight="true" outlineLevel="0" collapsed="false">
      <c r="A19" s="21" t="n">
        <v>43599</v>
      </c>
      <c r="B19" s="28" t="s">
        <v>15</v>
      </c>
      <c r="C19" s="22" t="s">
        <v>9</v>
      </c>
      <c r="D19" s="23" t="n">
        <v>590000</v>
      </c>
      <c r="E19" s="29" t="n">
        <v>2</v>
      </c>
      <c r="F19" s="23" t="n">
        <f aca="false">D19*E19</f>
        <v>1180000</v>
      </c>
    </row>
    <row r="20" customFormat="false" ht="15" hidden="false" customHeight="true" outlineLevel="0" collapsed="false">
      <c r="A20" s="27" t="n">
        <v>43600</v>
      </c>
      <c r="B20" s="17" t="s">
        <v>8</v>
      </c>
      <c r="C20" s="17" t="s">
        <v>17</v>
      </c>
      <c r="D20" s="18" t="n">
        <v>375000</v>
      </c>
      <c r="E20" s="19" t="n">
        <v>2</v>
      </c>
      <c r="F20" s="18" t="n">
        <f aca="false">D20*E20</f>
        <v>750000</v>
      </c>
    </row>
    <row r="21" customFormat="false" ht="15.75" hidden="false" customHeight="true" outlineLevel="0" collapsed="false">
      <c r="A21" s="21" t="n">
        <v>43601</v>
      </c>
      <c r="B21" s="22" t="s">
        <v>10</v>
      </c>
      <c r="C21" s="22" t="s">
        <v>16</v>
      </c>
      <c r="D21" s="23" t="n">
        <v>790000</v>
      </c>
      <c r="E21" s="24" t="n">
        <v>1</v>
      </c>
      <c r="F21" s="23" t="n">
        <f aca="false">D21*E21</f>
        <v>790000</v>
      </c>
    </row>
    <row r="22" customFormat="false" ht="15.75" hidden="false" customHeight="true" outlineLevel="0" collapsed="false">
      <c r="A22" s="16" t="n">
        <v>43602</v>
      </c>
      <c r="B22" s="17" t="s">
        <v>12</v>
      </c>
      <c r="C22" s="17" t="s">
        <v>16</v>
      </c>
      <c r="D22" s="26" t="n">
        <v>790000</v>
      </c>
      <c r="E22" s="19" t="n">
        <v>1</v>
      </c>
      <c r="F22" s="26" t="n">
        <f aca="false">D22*E22</f>
        <v>790000</v>
      </c>
    </row>
    <row r="23" customFormat="false" ht="15.75" hidden="false" customHeight="true" outlineLevel="0" collapsed="false">
      <c r="A23" s="21" t="n">
        <v>43603</v>
      </c>
      <c r="B23" s="22" t="s">
        <v>18</v>
      </c>
      <c r="C23" s="22" t="s">
        <v>9</v>
      </c>
      <c r="D23" s="23" t="n">
        <v>590000</v>
      </c>
      <c r="E23" s="24" t="n">
        <v>2</v>
      </c>
      <c r="F23" s="23" t="n">
        <f aca="false">D23*E23</f>
        <v>1180000</v>
      </c>
    </row>
    <row r="24" customFormat="false" ht="15.75" hidden="false" customHeight="true" outlineLevel="0" collapsed="false">
      <c r="A24" s="16" t="n">
        <v>43604</v>
      </c>
      <c r="B24" s="17" t="s">
        <v>10</v>
      </c>
      <c r="C24" s="17" t="s">
        <v>17</v>
      </c>
      <c r="D24" s="26" t="n">
        <v>375000</v>
      </c>
      <c r="E24" s="19" t="n">
        <v>2</v>
      </c>
      <c r="F24" s="26" t="n">
        <f aca="false">D24*E24</f>
        <v>750000</v>
      </c>
    </row>
    <row r="25" customFormat="false" ht="15.75" hidden="false" customHeight="true" outlineLevel="0" collapsed="false">
      <c r="A25" s="30" t="n">
        <v>43605</v>
      </c>
      <c r="B25" s="22" t="s">
        <v>18</v>
      </c>
      <c r="C25" s="28" t="s">
        <v>9</v>
      </c>
      <c r="D25" s="23" t="n">
        <v>590000</v>
      </c>
      <c r="E25" s="24" t="n">
        <v>1</v>
      </c>
      <c r="F25" s="23" t="n">
        <f aca="false">D25*E25</f>
        <v>590000</v>
      </c>
    </row>
    <row r="26" customFormat="false" ht="15.75" hidden="false" customHeight="true" outlineLevel="0" collapsed="false">
      <c r="A26" s="16" t="n">
        <v>43606</v>
      </c>
      <c r="B26" s="25" t="s">
        <v>15</v>
      </c>
      <c r="C26" s="25" t="s">
        <v>11</v>
      </c>
      <c r="D26" s="18" t="n">
        <v>750000</v>
      </c>
      <c r="E26" s="19" t="n">
        <v>1</v>
      </c>
      <c r="F26" s="18" t="n">
        <f aca="false">D26*E26</f>
        <v>750000</v>
      </c>
    </row>
    <row r="27" customFormat="false" ht="15.75" hidden="false" customHeight="true" outlineLevel="0" collapsed="false">
      <c r="A27" s="21" t="n">
        <v>43607</v>
      </c>
      <c r="B27" s="22" t="s">
        <v>12</v>
      </c>
      <c r="C27" s="22" t="s">
        <v>14</v>
      </c>
      <c r="D27" s="23" t="n">
        <v>460000</v>
      </c>
      <c r="E27" s="24" t="n">
        <v>1</v>
      </c>
      <c r="F27" s="23" t="n">
        <f aca="false">D27*E27</f>
        <v>460000</v>
      </c>
    </row>
    <row r="28" customFormat="false" ht="15.75" hidden="false" customHeight="true" outlineLevel="0" collapsed="false">
      <c r="A28" s="16" t="n">
        <v>43608</v>
      </c>
      <c r="B28" s="17" t="s">
        <v>12</v>
      </c>
      <c r="C28" s="25" t="s">
        <v>14</v>
      </c>
      <c r="D28" s="26" t="n">
        <v>460000</v>
      </c>
      <c r="E28" s="19" t="n">
        <v>3</v>
      </c>
      <c r="F28" s="26" t="n">
        <f aca="false">D28*E28</f>
        <v>1380000</v>
      </c>
    </row>
    <row r="29" customFormat="false" ht="15.75" hidden="false" customHeight="true" outlineLevel="0" collapsed="false">
      <c r="A29" s="21" t="n">
        <v>43609</v>
      </c>
      <c r="B29" s="22" t="s">
        <v>15</v>
      </c>
      <c r="C29" s="22" t="s">
        <v>17</v>
      </c>
      <c r="D29" s="23" t="n">
        <v>375000</v>
      </c>
      <c r="E29" s="24" t="n">
        <v>1</v>
      </c>
      <c r="F29" s="23" t="n">
        <f aca="false">D29*E29</f>
        <v>375000</v>
      </c>
    </row>
    <row r="30" customFormat="false" ht="15.75" hidden="false" customHeight="true" outlineLevel="0" collapsed="false">
      <c r="A30" s="16" t="n">
        <v>43610</v>
      </c>
      <c r="B30" s="17" t="s">
        <v>8</v>
      </c>
      <c r="C30" s="17" t="s">
        <v>16</v>
      </c>
      <c r="D30" s="18" t="n">
        <v>790000</v>
      </c>
      <c r="E30" s="19" t="n">
        <v>2</v>
      </c>
      <c r="F30" s="18" t="n">
        <f aca="false">D30*E30</f>
        <v>1580000</v>
      </c>
    </row>
    <row r="31" customFormat="false" ht="15.75" hidden="false" customHeight="true" outlineLevel="0" collapsed="false">
      <c r="A31" s="21" t="n">
        <v>43611</v>
      </c>
      <c r="B31" s="28" t="s">
        <v>13</v>
      </c>
      <c r="C31" s="22" t="s">
        <v>9</v>
      </c>
      <c r="D31" s="23" t="n">
        <v>590000</v>
      </c>
      <c r="E31" s="24" t="n">
        <v>1</v>
      </c>
      <c r="F31" s="23" t="n">
        <f aca="false">D31*E31</f>
        <v>590000</v>
      </c>
    </row>
    <row r="32" customFormat="false" ht="15.75" hidden="false" customHeight="true" outlineLevel="0" collapsed="false">
      <c r="A32" s="16" t="n">
        <v>43612</v>
      </c>
      <c r="B32" s="17" t="s">
        <v>10</v>
      </c>
      <c r="C32" s="17" t="s">
        <v>17</v>
      </c>
      <c r="D32" s="26" t="n">
        <v>375000</v>
      </c>
      <c r="E32" s="19" t="n">
        <v>2</v>
      </c>
      <c r="F32" s="26" t="n">
        <f aca="false">D32*E32</f>
        <v>750000</v>
      </c>
    </row>
    <row r="33" customFormat="false" ht="15.75" hidden="false" customHeight="true" outlineLevel="0" collapsed="false">
      <c r="A33" s="30" t="n">
        <v>43613</v>
      </c>
      <c r="B33" s="22" t="s">
        <v>8</v>
      </c>
      <c r="C33" s="22" t="s">
        <v>9</v>
      </c>
      <c r="D33" s="23" t="n">
        <v>590000</v>
      </c>
      <c r="E33" s="24" t="n">
        <v>3</v>
      </c>
      <c r="F33" s="23" t="n">
        <f aca="false">D33*E33</f>
        <v>1770000</v>
      </c>
    </row>
    <row r="34" customFormat="false" ht="15.75" hidden="false" customHeight="true" outlineLevel="0" collapsed="false">
      <c r="A34" s="16" t="n">
        <v>43614</v>
      </c>
      <c r="B34" s="17" t="s">
        <v>10</v>
      </c>
      <c r="C34" s="17" t="s">
        <v>11</v>
      </c>
      <c r="D34" s="26" t="n">
        <v>750000</v>
      </c>
      <c r="E34" s="19" t="n">
        <v>1</v>
      </c>
      <c r="F34" s="26" t="n">
        <f aca="false">D34*E34</f>
        <v>750000</v>
      </c>
    </row>
    <row r="35" customFormat="false" ht="15.75" hidden="false" customHeight="true" outlineLevel="0" collapsed="false">
      <c r="A35" s="21" t="n">
        <v>43615</v>
      </c>
      <c r="B35" s="22" t="s">
        <v>18</v>
      </c>
      <c r="C35" s="22" t="s">
        <v>14</v>
      </c>
      <c r="D35" s="23" t="n">
        <v>460000</v>
      </c>
      <c r="E35" s="24" t="n">
        <v>1</v>
      </c>
      <c r="F35" s="23" t="n">
        <f aca="false">D35*E35</f>
        <v>460000</v>
      </c>
    </row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">
    <mergeCell ref="A4:C4"/>
  </mergeCells>
  <conditionalFormatting sqref="F6:F35">
    <cfRule type="expression" priority="2" aboveAverage="0" equalAverage="0" bottom="0" percent="0" rank="0" text="" dxfId="4">
      <formula>F6=MAX($F$6:$F$35)</formula>
    </cfRule>
    <cfRule type="expression" priority="3" aboveAverage="0" equalAverage="0" bottom="0" percent="0" rank="0" text="" dxfId="5">
      <formula>F6=MIN($F$6:$F$35)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390625" defaultRowHeight="15" customHeight="true" zeroHeight="false" outlineLevelRow="0" outlineLevelCol="0"/>
  <cols>
    <col collapsed="false" customWidth="true" hidden="false" outlineLevel="0" max="8" min="1" style="1" width="8.74"/>
    <col collapsed="false" customWidth="true" hidden="false" outlineLevel="0" max="9" min="9" style="1" width="23.68"/>
    <col collapsed="false" customWidth="true" hidden="false" outlineLevel="0" max="26" min="10" style="1" width="8.74"/>
  </cols>
  <sheetData>
    <row r="1" customFormat="false" ht="15" hidden="false" customHeight="true" outlineLevel="0" collapsed="false">
      <c r="A1" s="2" t="s">
        <v>20</v>
      </c>
    </row>
    <row r="2" customFormat="false" ht="15" hidden="false" customHeight="true" outlineLevel="0" collapsed="false">
      <c r="A2" s="2" t="s">
        <v>21</v>
      </c>
    </row>
    <row r="3" customFormat="false" ht="15" hidden="false" customHeight="true" outlineLevel="0" collapsed="false">
      <c r="A3" s="2"/>
      <c r="I3" s="31" t="s">
        <v>22</v>
      </c>
      <c r="J3" s="31" t="n">
        <v>1000</v>
      </c>
    </row>
    <row r="4" customFormat="false" ht="15" hidden="false" customHeight="true" outlineLevel="0" collapsed="false">
      <c r="A4" s="32" t="s">
        <v>23</v>
      </c>
      <c r="B4" s="32"/>
      <c r="C4" s="32"/>
      <c r="I4" s="31" t="s">
        <v>24</v>
      </c>
      <c r="J4" s="33" t="n">
        <f aca="false">MIN(B6:G14)</f>
        <v>189.84375</v>
      </c>
    </row>
    <row r="5" customFormat="false" ht="15" hidden="false" customHeight="true" outlineLevel="0" collapsed="false">
      <c r="A5" s="34" t="s">
        <v>25</v>
      </c>
      <c r="B5" s="34" t="s">
        <v>26</v>
      </c>
      <c r="C5" s="34" t="s">
        <v>27</v>
      </c>
      <c r="D5" s="34" t="s">
        <v>28</v>
      </c>
      <c r="E5" s="34" t="s">
        <v>29</v>
      </c>
      <c r="F5" s="34" t="s">
        <v>30</v>
      </c>
      <c r="G5" s="34" t="s">
        <v>31</v>
      </c>
      <c r="I5" s="31" t="s">
        <v>32</v>
      </c>
      <c r="J5" s="33" t="n">
        <f aca="false">MAX(B6:G14)</f>
        <v>6831</v>
      </c>
    </row>
    <row r="6" customFormat="false" ht="15" hidden="false" customHeight="true" outlineLevel="0" collapsed="false">
      <c r="A6" s="31" t="s">
        <v>8</v>
      </c>
      <c r="B6" s="35" t="n">
        <v>1200</v>
      </c>
      <c r="C6" s="35" t="n">
        <v>840</v>
      </c>
      <c r="D6" s="35" t="n">
        <v>900</v>
      </c>
      <c r="E6" s="35" t="n">
        <v>1201</v>
      </c>
      <c r="F6" s="35" t="n">
        <v>840.7</v>
      </c>
      <c r="G6" s="35" t="n">
        <v>901</v>
      </c>
    </row>
    <row r="7" customFormat="false" ht="15" hidden="false" customHeight="true" outlineLevel="0" collapsed="false">
      <c r="A7" s="31" t="s">
        <v>10</v>
      </c>
      <c r="B7" s="35" t="n">
        <v>600</v>
      </c>
      <c r="C7" s="35" t="n">
        <v>420</v>
      </c>
      <c r="D7" s="35" t="n">
        <v>450</v>
      </c>
      <c r="E7" s="35" t="n">
        <v>600.5</v>
      </c>
      <c r="F7" s="35" t="n">
        <v>420.35</v>
      </c>
      <c r="G7" s="35" t="n">
        <v>450.5</v>
      </c>
      <c r="I7" s="1" t="s">
        <v>22</v>
      </c>
      <c r="J7" s="36" t="n">
        <f aca="false">J3</f>
        <v>1000</v>
      </c>
    </row>
    <row r="8" customFormat="false" ht="15" hidden="false" customHeight="true" outlineLevel="0" collapsed="false">
      <c r="A8" s="31" t="s">
        <v>12</v>
      </c>
      <c r="B8" s="35" t="n">
        <v>720</v>
      </c>
      <c r="C8" s="35" t="n">
        <v>210</v>
      </c>
      <c r="D8" s="35" t="n">
        <v>1350</v>
      </c>
      <c r="E8" s="35" t="n">
        <v>720.6</v>
      </c>
      <c r="F8" s="35" t="n">
        <v>210.175</v>
      </c>
      <c r="G8" s="35" t="n">
        <v>1351.5</v>
      </c>
      <c r="I8" s="1" t="s">
        <v>33</v>
      </c>
      <c r="J8" s="36" t="n">
        <f aca="false">J4</f>
        <v>189.84375</v>
      </c>
    </row>
    <row r="9" customFormat="false" ht="15" hidden="false" customHeight="true" outlineLevel="0" collapsed="false">
      <c r="A9" s="31" t="s">
        <v>13</v>
      </c>
      <c r="B9" s="35" t="n">
        <v>1320</v>
      </c>
      <c r="C9" s="35" t="n">
        <v>1242</v>
      </c>
      <c r="D9" s="35" t="n">
        <v>675</v>
      </c>
      <c r="E9" s="35" t="n">
        <v>1321.1</v>
      </c>
      <c r="F9" s="35" t="n">
        <v>920</v>
      </c>
      <c r="G9" s="35" t="n">
        <v>675.75</v>
      </c>
      <c r="I9" s="1" t="s">
        <v>34</v>
      </c>
      <c r="J9" s="36" t="n">
        <f aca="false">J5</f>
        <v>6831</v>
      </c>
    </row>
    <row r="10" customFormat="false" ht="15" hidden="false" customHeight="true" outlineLevel="0" collapsed="false">
      <c r="A10" s="31" t="s">
        <v>15</v>
      </c>
      <c r="B10" s="35" t="n">
        <v>792</v>
      </c>
      <c r="C10" s="35" t="n">
        <v>1330</v>
      </c>
      <c r="D10" s="35" t="n">
        <v>1012.5</v>
      </c>
      <c r="E10" s="35" t="n">
        <v>792.66</v>
      </c>
      <c r="F10" s="35" t="n">
        <v>1380</v>
      </c>
      <c r="G10" s="35" t="n">
        <v>1013.625</v>
      </c>
    </row>
    <row r="11" customFormat="false" ht="15" hidden="false" customHeight="true" outlineLevel="0" collapsed="false">
      <c r="A11" s="31" t="s">
        <v>18</v>
      </c>
      <c r="B11" s="35" t="n">
        <v>1188</v>
      </c>
      <c r="C11" s="35" t="n">
        <v>1995</v>
      </c>
      <c r="D11" s="35" t="n">
        <v>506.25</v>
      </c>
      <c r="E11" s="35" t="n">
        <v>1250</v>
      </c>
      <c r="F11" s="35" t="n">
        <v>2070</v>
      </c>
      <c r="G11" s="35" t="n">
        <v>506.8125</v>
      </c>
    </row>
    <row r="12" customFormat="false" ht="15" hidden="false" customHeight="true" outlineLevel="0" collapsed="false">
      <c r="A12" s="31" t="s">
        <v>35</v>
      </c>
      <c r="B12" s="35" t="n">
        <v>1742.4</v>
      </c>
      <c r="C12" s="35" t="n">
        <v>2926</v>
      </c>
      <c r="D12" s="35" t="n">
        <v>253.125</v>
      </c>
      <c r="E12" s="35" t="n">
        <v>1743.852</v>
      </c>
      <c r="F12" s="35" t="n">
        <v>3036</v>
      </c>
      <c r="G12" s="35" t="n">
        <v>253.40625</v>
      </c>
    </row>
    <row r="13" customFormat="false" ht="15" hidden="false" customHeight="true" outlineLevel="0" collapsed="false">
      <c r="A13" s="31" t="s">
        <v>36</v>
      </c>
      <c r="B13" s="35" t="n">
        <v>1045.44</v>
      </c>
      <c r="C13" s="35" t="n">
        <v>4389</v>
      </c>
      <c r="D13" s="35" t="n">
        <v>379.6875</v>
      </c>
      <c r="E13" s="35" t="n">
        <v>1046.3112</v>
      </c>
      <c r="F13" s="35" t="n">
        <v>4554</v>
      </c>
      <c r="G13" s="35" t="n">
        <v>380.109375</v>
      </c>
    </row>
    <row r="14" customFormat="false" ht="15" hidden="false" customHeight="true" outlineLevel="0" collapsed="false">
      <c r="A14" s="31" t="s">
        <v>37</v>
      </c>
      <c r="B14" s="35" t="n">
        <v>1568.16</v>
      </c>
      <c r="C14" s="35" t="n">
        <v>6583.5</v>
      </c>
      <c r="D14" s="35" t="n">
        <v>189.84375</v>
      </c>
      <c r="E14" s="35" t="n">
        <v>1569.4668</v>
      </c>
      <c r="F14" s="35" t="n">
        <v>6831</v>
      </c>
      <c r="G14" s="35" t="n">
        <v>190.0546875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">
    <mergeCell ref="A4:C4"/>
  </mergeCells>
  <conditionalFormatting sqref="B6:G14">
    <cfRule type="expression" priority="2" aboveAverage="0" equalAverage="0" bottom="0" percent="0" rank="0" text="" dxfId="4">
      <formula>B6&gt;$J$3</formula>
    </cfRule>
    <cfRule type="expression" priority="3" aboveAverage="0" equalAverage="0" bottom="0" percent="0" rank="0" text="" dxfId="5">
      <formula>B6&lt;$J$3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390625" defaultRowHeight="15" customHeight="true" zeroHeight="false" outlineLevelRow="0" outlineLevelCol="0"/>
  <cols>
    <col collapsed="false" customWidth="true" hidden="false" outlineLevel="0" max="1" min="1" style="1" width="12.5"/>
    <col collapsed="false" customWidth="true" hidden="false" outlineLevel="0" max="3" min="2" style="1" width="8.74"/>
    <col collapsed="false" customWidth="true" hidden="false" outlineLevel="0" max="4" min="4" style="1" width="11.97"/>
    <col collapsed="false" customWidth="true" hidden="false" outlineLevel="0" max="5" min="5" style="1" width="6.32"/>
    <col collapsed="false" customWidth="true" hidden="false" outlineLevel="0" max="6" min="6" style="1" width="13.72"/>
    <col collapsed="false" customWidth="true" hidden="false" outlineLevel="0" max="8" min="7" style="1" width="8.74"/>
    <col collapsed="false" customWidth="true" hidden="false" outlineLevel="0" max="9" min="9" style="1" width="21.52"/>
    <col collapsed="false" customWidth="true" hidden="false" outlineLevel="0" max="10" min="10" style="1" width="14.66"/>
    <col collapsed="false" customWidth="true" hidden="false" outlineLevel="0" max="26" min="11" style="1" width="8.74"/>
  </cols>
  <sheetData>
    <row r="1" customFormat="false" ht="15" hidden="false" customHeight="true" outlineLevel="0" collapsed="false">
      <c r="A1" s="2" t="s">
        <v>38</v>
      </c>
    </row>
    <row r="4" customFormat="false" ht="15" hidden="false" customHeight="true" outlineLevel="0" collapsed="false">
      <c r="A4" s="14" t="s">
        <v>1</v>
      </c>
      <c r="B4" s="14"/>
      <c r="C4" s="14"/>
    </row>
    <row r="5" customFormat="false" ht="15" hidden="false" customHeight="true" outlineLevel="0" collapsed="false">
      <c r="A5" s="15" t="s">
        <v>2</v>
      </c>
      <c r="B5" s="15" t="s">
        <v>3</v>
      </c>
      <c r="C5" s="15" t="s">
        <v>4</v>
      </c>
      <c r="D5" s="15" t="s">
        <v>5</v>
      </c>
      <c r="E5" s="15" t="s">
        <v>6</v>
      </c>
      <c r="F5" s="15" t="s">
        <v>7</v>
      </c>
      <c r="I5" s="37" t="s">
        <v>39</v>
      </c>
      <c r="J5" s="37" t="s">
        <v>40</v>
      </c>
    </row>
    <row r="6" customFormat="false" ht="15" hidden="false" customHeight="true" outlineLevel="0" collapsed="false">
      <c r="A6" s="16" t="n">
        <v>43586</v>
      </c>
      <c r="B6" s="17" t="s">
        <v>8</v>
      </c>
      <c r="C6" s="17" t="s">
        <v>9</v>
      </c>
      <c r="D6" s="18" t="n">
        <v>590000</v>
      </c>
      <c r="E6" s="19" t="n">
        <v>1</v>
      </c>
      <c r="F6" s="18" t="n">
        <f aca="false">D6*E6</f>
        <v>590000</v>
      </c>
      <c r="I6" s="31" t="s">
        <v>41</v>
      </c>
      <c r="J6" s="38" t="n">
        <f aca="false">SUM(F6:F35)</f>
        <v>29365000</v>
      </c>
    </row>
    <row r="7" customFormat="false" ht="15" hidden="false" customHeight="true" outlineLevel="0" collapsed="false">
      <c r="A7" s="21" t="n">
        <v>43587</v>
      </c>
      <c r="B7" s="22" t="s">
        <v>10</v>
      </c>
      <c r="C7" s="22" t="s">
        <v>11</v>
      </c>
      <c r="D7" s="23" t="n">
        <v>750000</v>
      </c>
      <c r="E7" s="24" t="n">
        <v>2</v>
      </c>
      <c r="F7" s="23" t="n">
        <f aca="false">D7*E7</f>
        <v>1500000</v>
      </c>
      <c r="I7" s="31" t="s">
        <v>42</v>
      </c>
      <c r="J7" s="33" t="n">
        <f aca="false">SUM(E6:E35)</f>
        <v>50</v>
      </c>
    </row>
    <row r="8" customFormat="false" ht="15" hidden="false" customHeight="true" outlineLevel="0" collapsed="false">
      <c r="A8" s="16" t="n">
        <v>43588</v>
      </c>
      <c r="B8" s="17" t="s">
        <v>12</v>
      </c>
      <c r="C8" s="17" t="s">
        <v>9</v>
      </c>
      <c r="D8" s="18" t="n">
        <v>590000</v>
      </c>
      <c r="E8" s="19" t="n">
        <v>1</v>
      </c>
      <c r="F8" s="18" t="n">
        <f aca="false">D8*E8</f>
        <v>590000</v>
      </c>
      <c r="I8" s="31" t="s">
        <v>43</v>
      </c>
      <c r="J8" s="33" t="n">
        <f aca="false">COUNTA(A6:A35)</f>
        <v>30</v>
      </c>
    </row>
    <row r="9" customFormat="false" ht="15" hidden="false" customHeight="true" outlineLevel="0" collapsed="false">
      <c r="A9" s="21" t="n">
        <v>43589</v>
      </c>
      <c r="B9" s="22" t="s">
        <v>13</v>
      </c>
      <c r="C9" s="22" t="s">
        <v>14</v>
      </c>
      <c r="D9" s="23" t="n">
        <v>460000</v>
      </c>
      <c r="E9" s="24" t="n">
        <v>1</v>
      </c>
      <c r="F9" s="23" t="n">
        <f aca="false">D9*E9</f>
        <v>460000</v>
      </c>
      <c r="I9" s="31" t="s">
        <v>44</v>
      </c>
      <c r="J9" s="38" t="n">
        <f aca="false">AVERAGE(F6:F35)</f>
        <v>978833.333333333</v>
      </c>
    </row>
    <row r="10" customFormat="false" ht="15" hidden="false" customHeight="true" outlineLevel="0" collapsed="false">
      <c r="A10" s="16" t="n">
        <v>43590</v>
      </c>
      <c r="B10" s="17" t="s">
        <v>15</v>
      </c>
      <c r="C10" s="25" t="s">
        <v>16</v>
      </c>
      <c r="D10" s="26" t="n">
        <v>790000</v>
      </c>
      <c r="E10" s="19" t="n">
        <v>3</v>
      </c>
      <c r="F10" s="26" t="n">
        <f aca="false">D10*E10</f>
        <v>2370000</v>
      </c>
    </row>
    <row r="11" customFormat="false" ht="15" hidden="false" customHeight="true" outlineLevel="0" collapsed="false">
      <c r="A11" s="21" t="n">
        <v>43591</v>
      </c>
      <c r="B11" s="22" t="s">
        <v>8</v>
      </c>
      <c r="C11" s="22" t="s">
        <v>17</v>
      </c>
      <c r="D11" s="23" t="n">
        <v>375000</v>
      </c>
      <c r="E11" s="24" t="n">
        <v>2</v>
      </c>
      <c r="F11" s="23" t="n">
        <f aca="false">D11*E11</f>
        <v>750000</v>
      </c>
    </row>
    <row r="12" customFormat="false" ht="15" hidden="false" customHeight="true" outlineLevel="0" collapsed="false">
      <c r="A12" s="16" t="n">
        <v>43592</v>
      </c>
      <c r="B12" s="17" t="s">
        <v>10</v>
      </c>
      <c r="C12" s="17" t="s">
        <v>9</v>
      </c>
      <c r="D12" s="26" t="n">
        <v>590000</v>
      </c>
      <c r="E12" s="19" t="n">
        <v>3</v>
      </c>
      <c r="F12" s="26" t="n">
        <f aca="false">D12*E12</f>
        <v>1770000</v>
      </c>
    </row>
    <row r="13" customFormat="false" ht="15" hidden="false" customHeight="true" outlineLevel="0" collapsed="false">
      <c r="A13" s="21" t="n">
        <v>43593</v>
      </c>
      <c r="B13" s="22" t="s">
        <v>8</v>
      </c>
      <c r="C13" s="22" t="s">
        <v>11</v>
      </c>
      <c r="D13" s="23" t="n">
        <v>750000</v>
      </c>
      <c r="E13" s="24" t="n">
        <v>2</v>
      </c>
      <c r="F13" s="23" t="n">
        <f aca="false">D13*E13</f>
        <v>1500000</v>
      </c>
    </row>
    <row r="14" customFormat="false" ht="15" hidden="false" customHeight="true" outlineLevel="0" collapsed="false">
      <c r="A14" s="27" t="n">
        <v>43594</v>
      </c>
      <c r="B14" s="25" t="s">
        <v>13</v>
      </c>
      <c r="C14" s="17" t="s">
        <v>9</v>
      </c>
      <c r="D14" s="26" t="n">
        <v>590000</v>
      </c>
      <c r="E14" s="19" t="n">
        <v>3</v>
      </c>
      <c r="F14" s="26" t="n">
        <f aca="false">D14*E14</f>
        <v>1770000</v>
      </c>
    </row>
    <row r="15" customFormat="false" ht="15" hidden="false" customHeight="true" outlineLevel="0" collapsed="false">
      <c r="A15" s="21" t="n">
        <v>43595</v>
      </c>
      <c r="B15" s="22" t="s">
        <v>12</v>
      </c>
      <c r="C15" s="22" t="s">
        <v>11</v>
      </c>
      <c r="D15" s="23" t="n">
        <v>750000</v>
      </c>
      <c r="E15" s="24" t="n">
        <v>2</v>
      </c>
      <c r="F15" s="23" t="n">
        <f aca="false">D15*E15</f>
        <v>1500000</v>
      </c>
    </row>
    <row r="16" customFormat="false" ht="15" hidden="false" customHeight="true" outlineLevel="0" collapsed="false">
      <c r="A16" s="16" t="n">
        <v>43596</v>
      </c>
      <c r="B16" s="17" t="s">
        <v>10</v>
      </c>
      <c r="C16" s="25" t="s">
        <v>14</v>
      </c>
      <c r="D16" s="18" t="n">
        <v>460000</v>
      </c>
      <c r="E16" s="19" t="n">
        <v>1</v>
      </c>
      <c r="F16" s="18" t="n">
        <f aca="false">D16*E16</f>
        <v>460000</v>
      </c>
    </row>
    <row r="17" customFormat="false" ht="15" hidden="false" customHeight="true" outlineLevel="0" collapsed="false">
      <c r="A17" s="21" t="n">
        <v>43597</v>
      </c>
      <c r="B17" s="28" t="s">
        <v>13</v>
      </c>
      <c r="C17" s="22" t="s">
        <v>14</v>
      </c>
      <c r="D17" s="23" t="n">
        <v>460000</v>
      </c>
      <c r="E17" s="29" t="n">
        <v>1</v>
      </c>
      <c r="F17" s="23" t="n">
        <f aca="false">D17*E17</f>
        <v>460000</v>
      </c>
    </row>
    <row r="18" customFormat="false" ht="15" hidden="false" customHeight="true" outlineLevel="0" collapsed="false">
      <c r="A18" s="16" t="n">
        <v>43598</v>
      </c>
      <c r="B18" s="17" t="s">
        <v>15</v>
      </c>
      <c r="C18" s="25" t="s">
        <v>11</v>
      </c>
      <c r="D18" s="26" t="n">
        <v>750000</v>
      </c>
      <c r="E18" s="19" t="n">
        <v>1</v>
      </c>
      <c r="F18" s="26" t="n">
        <f aca="false">D18*E18</f>
        <v>750000</v>
      </c>
    </row>
    <row r="19" customFormat="false" ht="15" hidden="false" customHeight="true" outlineLevel="0" collapsed="false">
      <c r="A19" s="21" t="n">
        <v>43599</v>
      </c>
      <c r="B19" s="28" t="s">
        <v>15</v>
      </c>
      <c r="C19" s="22" t="s">
        <v>9</v>
      </c>
      <c r="D19" s="23" t="n">
        <v>590000</v>
      </c>
      <c r="E19" s="29" t="n">
        <v>2</v>
      </c>
      <c r="F19" s="23" t="n">
        <f aca="false">D19*E19</f>
        <v>1180000</v>
      </c>
    </row>
    <row r="20" customFormat="false" ht="15" hidden="false" customHeight="true" outlineLevel="0" collapsed="false">
      <c r="A20" s="27" t="n">
        <v>43600</v>
      </c>
      <c r="B20" s="17" t="s">
        <v>8</v>
      </c>
      <c r="C20" s="17" t="s">
        <v>17</v>
      </c>
      <c r="D20" s="18" t="n">
        <v>375000</v>
      </c>
      <c r="E20" s="19" t="n">
        <v>2</v>
      </c>
      <c r="F20" s="18" t="n">
        <f aca="false">D20*E20</f>
        <v>750000</v>
      </c>
    </row>
    <row r="21" customFormat="false" ht="15.75" hidden="false" customHeight="true" outlineLevel="0" collapsed="false">
      <c r="A21" s="21" t="n">
        <v>43601</v>
      </c>
      <c r="B21" s="22" t="s">
        <v>10</v>
      </c>
      <c r="C21" s="22" t="s">
        <v>16</v>
      </c>
      <c r="D21" s="23" t="n">
        <v>790000</v>
      </c>
      <c r="E21" s="24" t="n">
        <v>1</v>
      </c>
      <c r="F21" s="23" t="n">
        <f aca="false">D21*E21</f>
        <v>790000</v>
      </c>
    </row>
    <row r="22" customFormat="false" ht="15.75" hidden="false" customHeight="true" outlineLevel="0" collapsed="false">
      <c r="A22" s="16" t="n">
        <v>43602</v>
      </c>
      <c r="B22" s="17" t="s">
        <v>12</v>
      </c>
      <c r="C22" s="17" t="s">
        <v>16</v>
      </c>
      <c r="D22" s="26" t="n">
        <v>790000</v>
      </c>
      <c r="E22" s="19" t="n">
        <v>1</v>
      </c>
      <c r="F22" s="26" t="n">
        <f aca="false">D22*E22</f>
        <v>790000</v>
      </c>
    </row>
    <row r="23" customFormat="false" ht="15.75" hidden="false" customHeight="true" outlineLevel="0" collapsed="false">
      <c r="A23" s="21" t="n">
        <v>43603</v>
      </c>
      <c r="B23" s="22" t="s">
        <v>18</v>
      </c>
      <c r="C23" s="22" t="s">
        <v>9</v>
      </c>
      <c r="D23" s="23" t="n">
        <v>590000</v>
      </c>
      <c r="E23" s="24" t="n">
        <v>2</v>
      </c>
      <c r="F23" s="23" t="n">
        <f aca="false">D23*E23</f>
        <v>1180000</v>
      </c>
    </row>
    <row r="24" customFormat="false" ht="15.75" hidden="false" customHeight="true" outlineLevel="0" collapsed="false">
      <c r="A24" s="16" t="n">
        <v>43604</v>
      </c>
      <c r="B24" s="17" t="s">
        <v>10</v>
      </c>
      <c r="C24" s="17" t="s">
        <v>17</v>
      </c>
      <c r="D24" s="26" t="n">
        <v>375000</v>
      </c>
      <c r="E24" s="19" t="n">
        <v>2</v>
      </c>
      <c r="F24" s="26" t="n">
        <f aca="false">D24*E24</f>
        <v>750000</v>
      </c>
    </row>
    <row r="25" customFormat="false" ht="15.75" hidden="false" customHeight="true" outlineLevel="0" collapsed="false">
      <c r="A25" s="30" t="n">
        <v>43605</v>
      </c>
      <c r="B25" s="22" t="s">
        <v>18</v>
      </c>
      <c r="C25" s="28" t="s">
        <v>9</v>
      </c>
      <c r="D25" s="23" t="n">
        <v>590000</v>
      </c>
      <c r="E25" s="24" t="n">
        <v>1</v>
      </c>
      <c r="F25" s="23" t="n">
        <f aca="false">D25*E25</f>
        <v>590000</v>
      </c>
    </row>
    <row r="26" customFormat="false" ht="15.75" hidden="false" customHeight="true" outlineLevel="0" collapsed="false">
      <c r="A26" s="16" t="n">
        <v>43606</v>
      </c>
      <c r="B26" s="25" t="s">
        <v>15</v>
      </c>
      <c r="C26" s="25" t="s">
        <v>11</v>
      </c>
      <c r="D26" s="18" t="n">
        <v>750000</v>
      </c>
      <c r="E26" s="19" t="n">
        <v>1</v>
      </c>
      <c r="F26" s="18" t="n">
        <f aca="false">D26*E26</f>
        <v>750000</v>
      </c>
    </row>
    <row r="27" customFormat="false" ht="15.75" hidden="false" customHeight="true" outlineLevel="0" collapsed="false">
      <c r="A27" s="21" t="n">
        <v>43607</v>
      </c>
      <c r="B27" s="22" t="s">
        <v>12</v>
      </c>
      <c r="C27" s="22" t="s">
        <v>14</v>
      </c>
      <c r="D27" s="23" t="n">
        <v>460000</v>
      </c>
      <c r="E27" s="24" t="n">
        <v>1</v>
      </c>
      <c r="F27" s="23" t="n">
        <f aca="false">D27*E27</f>
        <v>460000</v>
      </c>
    </row>
    <row r="28" customFormat="false" ht="15.75" hidden="false" customHeight="true" outlineLevel="0" collapsed="false">
      <c r="A28" s="16" t="n">
        <v>43608</v>
      </c>
      <c r="B28" s="17" t="s">
        <v>12</v>
      </c>
      <c r="C28" s="25" t="s">
        <v>14</v>
      </c>
      <c r="D28" s="26" t="n">
        <v>460000</v>
      </c>
      <c r="E28" s="19" t="n">
        <v>3</v>
      </c>
      <c r="F28" s="26" t="n">
        <f aca="false">D28*E28</f>
        <v>1380000</v>
      </c>
    </row>
    <row r="29" customFormat="false" ht="15.75" hidden="false" customHeight="true" outlineLevel="0" collapsed="false">
      <c r="A29" s="21" t="n">
        <v>43609</v>
      </c>
      <c r="B29" s="22" t="s">
        <v>15</v>
      </c>
      <c r="C29" s="22" t="s">
        <v>17</v>
      </c>
      <c r="D29" s="23" t="n">
        <v>375000</v>
      </c>
      <c r="E29" s="24" t="n">
        <v>1</v>
      </c>
      <c r="F29" s="23" t="n">
        <f aca="false">D29*E29</f>
        <v>375000</v>
      </c>
    </row>
    <row r="30" customFormat="false" ht="15.75" hidden="false" customHeight="true" outlineLevel="0" collapsed="false">
      <c r="A30" s="16" t="n">
        <v>43610</v>
      </c>
      <c r="B30" s="17" t="s">
        <v>8</v>
      </c>
      <c r="C30" s="17" t="s">
        <v>16</v>
      </c>
      <c r="D30" s="18" t="n">
        <v>790000</v>
      </c>
      <c r="E30" s="19" t="n">
        <v>2</v>
      </c>
      <c r="F30" s="18" t="n">
        <f aca="false">D30*E30</f>
        <v>1580000</v>
      </c>
    </row>
    <row r="31" customFormat="false" ht="15.75" hidden="false" customHeight="true" outlineLevel="0" collapsed="false">
      <c r="A31" s="21" t="n">
        <v>43611</v>
      </c>
      <c r="B31" s="28" t="s">
        <v>13</v>
      </c>
      <c r="C31" s="22" t="s">
        <v>9</v>
      </c>
      <c r="D31" s="23" t="n">
        <v>590000</v>
      </c>
      <c r="E31" s="24" t="n">
        <v>1</v>
      </c>
      <c r="F31" s="23" t="n">
        <f aca="false">D31*E31</f>
        <v>590000</v>
      </c>
    </row>
    <row r="32" customFormat="false" ht="15.75" hidden="false" customHeight="true" outlineLevel="0" collapsed="false">
      <c r="A32" s="16" t="n">
        <v>43612</v>
      </c>
      <c r="B32" s="17" t="s">
        <v>10</v>
      </c>
      <c r="C32" s="17" t="s">
        <v>17</v>
      </c>
      <c r="D32" s="26" t="n">
        <v>375000</v>
      </c>
      <c r="E32" s="19" t="n">
        <v>2</v>
      </c>
      <c r="F32" s="26" t="n">
        <f aca="false">D32*E32</f>
        <v>750000</v>
      </c>
    </row>
    <row r="33" customFormat="false" ht="15.75" hidden="false" customHeight="true" outlineLevel="0" collapsed="false">
      <c r="A33" s="30" t="n">
        <v>43613</v>
      </c>
      <c r="B33" s="22" t="s">
        <v>8</v>
      </c>
      <c r="C33" s="22" t="s">
        <v>9</v>
      </c>
      <c r="D33" s="23" t="n">
        <v>590000</v>
      </c>
      <c r="E33" s="24" t="n">
        <v>3</v>
      </c>
      <c r="F33" s="23" t="n">
        <f aca="false">D33*E33</f>
        <v>1770000</v>
      </c>
    </row>
    <row r="34" customFormat="false" ht="15.75" hidden="false" customHeight="true" outlineLevel="0" collapsed="false">
      <c r="A34" s="16" t="n">
        <v>43614</v>
      </c>
      <c r="B34" s="17" t="s">
        <v>10</v>
      </c>
      <c r="C34" s="17" t="s">
        <v>11</v>
      </c>
      <c r="D34" s="26" t="n">
        <v>750000</v>
      </c>
      <c r="E34" s="19" t="n">
        <v>1</v>
      </c>
      <c r="F34" s="26" t="n">
        <f aca="false">D34*E34</f>
        <v>750000</v>
      </c>
    </row>
    <row r="35" customFormat="false" ht="15.75" hidden="false" customHeight="true" outlineLevel="0" collapsed="false">
      <c r="A35" s="21" t="n">
        <v>43615</v>
      </c>
      <c r="B35" s="22" t="s">
        <v>18</v>
      </c>
      <c r="C35" s="22" t="s">
        <v>14</v>
      </c>
      <c r="D35" s="23" t="n">
        <v>460000</v>
      </c>
      <c r="E35" s="24" t="n">
        <v>1</v>
      </c>
      <c r="F35" s="23" t="n">
        <f aca="false">D35*E35</f>
        <v>460000</v>
      </c>
    </row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">
    <mergeCell ref="A4:C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390625" defaultRowHeight="15" customHeight="true" zeroHeight="false" outlineLevelRow="0" outlineLevelCol="0"/>
  <cols>
    <col collapsed="false" customWidth="true" hidden="false" outlineLevel="0" max="1" min="1" style="1" width="24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5" min="5" style="1" width="6.32"/>
    <col collapsed="false" customWidth="true" hidden="false" outlineLevel="0" max="6" min="6" style="1" width="13.72"/>
    <col collapsed="false" customWidth="true" hidden="false" outlineLevel="0" max="26" min="7" style="1" width="8.74"/>
  </cols>
  <sheetData>
    <row r="1" customFormat="false" ht="15" hidden="false" customHeight="true" outlineLevel="0" collapsed="false">
      <c r="A1" s="2" t="s">
        <v>45</v>
      </c>
    </row>
    <row r="2" customFormat="false" ht="15" hidden="false" customHeight="true" outlineLevel="0" collapsed="false">
      <c r="A2" s="2" t="s">
        <v>46</v>
      </c>
    </row>
    <row r="4" customFormat="false" ht="15" hidden="false" customHeight="true" outlineLevel="0" collapsed="false">
      <c r="A4" s="14" t="s">
        <v>1</v>
      </c>
      <c r="B4" s="14"/>
      <c r="C4" s="14"/>
    </row>
    <row r="5" customFormat="false" ht="15" hidden="false" customHeight="true" outlineLevel="0" collapsed="false">
      <c r="A5" s="15" t="s">
        <v>2</v>
      </c>
      <c r="B5" s="15" t="s">
        <v>3</v>
      </c>
      <c r="C5" s="15" t="s">
        <v>4</v>
      </c>
      <c r="D5" s="15" t="s">
        <v>5</v>
      </c>
      <c r="E5" s="15" t="s">
        <v>6</v>
      </c>
      <c r="F5" s="15" t="s">
        <v>7</v>
      </c>
    </row>
    <row r="6" customFormat="false" ht="15" hidden="false" customHeight="true" outlineLevel="0" collapsed="false">
      <c r="A6" s="16" t="n">
        <v>43586</v>
      </c>
      <c r="B6" s="17" t="s">
        <v>8</v>
      </c>
      <c r="C6" s="17" t="s">
        <v>9</v>
      </c>
      <c r="D6" s="18" t="n">
        <v>590000</v>
      </c>
      <c r="E6" s="19" t="n">
        <v>1</v>
      </c>
      <c r="F6" s="18" t="n">
        <f aca="false">D6*E6</f>
        <v>590000</v>
      </c>
    </row>
    <row r="7" customFormat="false" ht="15" hidden="false" customHeight="true" outlineLevel="0" collapsed="false">
      <c r="A7" s="21" t="n">
        <v>43587</v>
      </c>
      <c r="B7" s="22" t="s">
        <v>10</v>
      </c>
      <c r="C7" s="22" t="s">
        <v>11</v>
      </c>
      <c r="D7" s="23" t="n">
        <v>750000</v>
      </c>
      <c r="E7" s="24" t="n">
        <v>2</v>
      </c>
      <c r="F7" s="23" t="n">
        <f aca="false">D7*E7</f>
        <v>1500000</v>
      </c>
    </row>
    <row r="8" customFormat="false" ht="15" hidden="false" customHeight="true" outlineLevel="0" collapsed="false">
      <c r="A8" s="16" t="n">
        <v>43588</v>
      </c>
      <c r="B8" s="17" t="s">
        <v>12</v>
      </c>
      <c r="C8" s="17" t="s">
        <v>9</v>
      </c>
      <c r="D8" s="18" t="n">
        <v>590000</v>
      </c>
      <c r="E8" s="19" t="n">
        <v>1</v>
      </c>
      <c r="F8" s="18" t="n">
        <f aca="false">D8*E8</f>
        <v>590000</v>
      </c>
    </row>
    <row r="9" customFormat="false" ht="15" hidden="false" customHeight="true" outlineLevel="0" collapsed="false">
      <c r="A9" s="21" t="n">
        <v>43589</v>
      </c>
      <c r="B9" s="22" t="s">
        <v>13</v>
      </c>
      <c r="C9" s="22" t="s">
        <v>14</v>
      </c>
      <c r="D9" s="23" t="n">
        <v>460000</v>
      </c>
      <c r="E9" s="24" t="n">
        <v>1</v>
      </c>
      <c r="F9" s="23" t="n">
        <f aca="false">D9*E9</f>
        <v>460000</v>
      </c>
    </row>
    <row r="10" customFormat="false" ht="15" hidden="false" customHeight="true" outlineLevel="0" collapsed="false">
      <c r="A10" s="16" t="n">
        <v>43590</v>
      </c>
      <c r="B10" s="17" t="s">
        <v>15</v>
      </c>
      <c r="C10" s="25" t="s">
        <v>16</v>
      </c>
      <c r="D10" s="26" t="n">
        <v>790000</v>
      </c>
      <c r="E10" s="19" t="n">
        <v>3</v>
      </c>
      <c r="F10" s="26" t="n">
        <f aca="false">D10*E10</f>
        <v>2370000</v>
      </c>
    </row>
    <row r="11" customFormat="false" ht="15" hidden="false" customHeight="true" outlineLevel="0" collapsed="false">
      <c r="A11" s="21" t="n">
        <v>43591</v>
      </c>
      <c r="B11" s="22" t="s">
        <v>8</v>
      </c>
      <c r="C11" s="22" t="s">
        <v>17</v>
      </c>
      <c r="D11" s="23" t="n">
        <v>375000</v>
      </c>
      <c r="E11" s="24" t="n">
        <v>2</v>
      </c>
      <c r="F11" s="23" t="n">
        <f aca="false">D11*E11</f>
        <v>750000</v>
      </c>
    </row>
    <row r="12" customFormat="false" ht="15" hidden="false" customHeight="true" outlineLevel="0" collapsed="false">
      <c r="A12" s="16" t="n">
        <v>43592</v>
      </c>
      <c r="B12" s="17" t="s">
        <v>10</v>
      </c>
      <c r="C12" s="17" t="s">
        <v>9</v>
      </c>
      <c r="D12" s="26" t="n">
        <v>590000</v>
      </c>
      <c r="E12" s="19" t="n">
        <v>3</v>
      </c>
      <c r="F12" s="26" t="n">
        <f aca="false">D12*E12</f>
        <v>1770000</v>
      </c>
    </row>
    <row r="13" customFormat="false" ht="15" hidden="false" customHeight="true" outlineLevel="0" collapsed="false">
      <c r="A13" s="21" t="n">
        <v>43593</v>
      </c>
      <c r="B13" s="22" t="s">
        <v>8</v>
      </c>
      <c r="C13" s="22" t="s">
        <v>11</v>
      </c>
      <c r="D13" s="23" t="n">
        <v>750000</v>
      </c>
      <c r="E13" s="24" t="n">
        <v>2</v>
      </c>
      <c r="F13" s="23" t="n">
        <f aca="false">D13*E13</f>
        <v>1500000</v>
      </c>
    </row>
    <row r="14" customFormat="false" ht="15" hidden="false" customHeight="true" outlineLevel="0" collapsed="false">
      <c r="A14" s="27" t="n">
        <v>43594</v>
      </c>
      <c r="B14" s="25" t="s">
        <v>13</v>
      </c>
      <c r="C14" s="17" t="s">
        <v>9</v>
      </c>
      <c r="D14" s="26" t="n">
        <v>590000</v>
      </c>
      <c r="E14" s="19" t="n">
        <v>3</v>
      </c>
      <c r="F14" s="26" t="n">
        <f aca="false">D14*E14</f>
        <v>1770000</v>
      </c>
    </row>
    <row r="15" customFormat="false" ht="15" hidden="false" customHeight="true" outlineLevel="0" collapsed="false">
      <c r="A15" s="21" t="n">
        <v>43595</v>
      </c>
      <c r="B15" s="22" t="s">
        <v>12</v>
      </c>
      <c r="C15" s="22" t="s">
        <v>11</v>
      </c>
      <c r="D15" s="23" t="n">
        <v>750000</v>
      </c>
      <c r="E15" s="24" t="n">
        <v>2</v>
      </c>
      <c r="F15" s="23" t="n">
        <f aca="false">D15*E15</f>
        <v>1500000</v>
      </c>
    </row>
    <row r="16" customFormat="false" ht="15" hidden="false" customHeight="true" outlineLevel="0" collapsed="false">
      <c r="A16" s="16" t="n">
        <v>43596</v>
      </c>
      <c r="B16" s="17" t="s">
        <v>10</v>
      </c>
      <c r="C16" s="25" t="s">
        <v>14</v>
      </c>
      <c r="D16" s="18" t="n">
        <v>460000</v>
      </c>
      <c r="E16" s="19" t="n">
        <v>1</v>
      </c>
      <c r="F16" s="18" t="n">
        <f aca="false">D16*E16</f>
        <v>460000</v>
      </c>
    </row>
    <row r="17" customFormat="false" ht="15" hidden="false" customHeight="true" outlineLevel="0" collapsed="false">
      <c r="A17" s="21" t="n">
        <v>43597</v>
      </c>
      <c r="B17" s="28" t="s">
        <v>13</v>
      </c>
      <c r="C17" s="22" t="s">
        <v>14</v>
      </c>
      <c r="D17" s="23" t="n">
        <v>460000</v>
      </c>
      <c r="E17" s="29" t="n">
        <v>1</v>
      </c>
      <c r="F17" s="23" t="n">
        <f aca="false">D17*E17</f>
        <v>460000</v>
      </c>
    </row>
    <row r="18" customFormat="false" ht="15" hidden="false" customHeight="true" outlineLevel="0" collapsed="false">
      <c r="A18" s="16" t="n">
        <v>43598</v>
      </c>
      <c r="B18" s="17" t="s">
        <v>15</v>
      </c>
      <c r="C18" s="25" t="s">
        <v>11</v>
      </c>
      <c r="D18" s="26" t="n">
        <v>750000</v>
      </c>
      <c r="E18" s="19" t="n">
        <v>1</v>
      </c>
      <c r="F18" s="26" t="n">
        <f aca="false">D18*E18</f>
        <v>750000</v>
      </c>
    </row>
    <row r="19" customFormat="false" ht="15" hidden="false" customHeight="true" outlineLevel="0" collapsed="false">
      <c r="A19" s="21" t="n">
        <v>43599</v>
      </c>
      <c r="B19" s="28" t="s">
        <v>15</v>
      </c>
      <c r="C19" s="22" t="s">
        <v>9</v>
      </c>
      <c r="D19" s="23" t="n">
        <v>590000</v>
      </c>
      <c r="E19" s="29" t="n">
        <v>2</v>
      </c>
      <c r="F19" s="23" t="n">
        <f aca="false">D19*E19</f>
        <v>1180000</v>
      </c>
    </row>
    <row r="20" customFormat="false" ht="15" hidden="false" customHeight="true" outlineLevel="0" collapsed="false">
      <c r="A20" s="27" t="n">
        <v>43600</v>
      </c>
      <c r="B20" s="17" t="s">
        <v>8</v>
      </c>
      <c r="C20" s="17" t="s">
        <v>17</v>
      </c>
      <c r="D20" s="18" t="n">
        <v>375000</v>
      </c>
      <c r="E20" s="19" t="n">
        <v>2</v>
      </c>
      <c r="F20" s="18" t="n">
        <f aca="false">D20*E20</f>
        <v>750000</v>
      </c>
    </row>
    <row r="21" customFormat="false" ht="15.75" hidden="false" customHeight="true" outlineLevel="0" collapsed="false">
      <c r="A21" s="21" t="n">
        <v>43601</v>
      </c>
      <c r="B21" s="22" t="s">
        <v>10</v>
      </c>
      <c r="C21" s="22" t="s">
        <v>16</v>
      </c>
      <c r="D21" s="23" t="n">
        <v>790000</v>
      </c>
      <c r="E21" s="24" t="n">
        <v>1</v>
      </c>
      <c r="F21" s="23" t="n">
        <f aca="false">D21*E21</f>
        <v>790000</v>
      </c>
    </row>
    <row r="22" customFormat="false" ht="15.75" hidden="false" customHeight="true" outlineLevel="0" collapsed="false">
      <c r="A22" s="16" t="n">
        <v>43602</v>
      </c>
      <c r="B22" s="17" t="s">
        <v>12</v>
      </c>
      <c r="C22" s="17" t="s">
        <v>16</v>
      </c>
      <c r="D22" s="26" t="n">
        <v>790000</v>
      </c>
      <c r="E22" s="19" t="n">
        <v>1</v>
      </c>
      <c r="F22" s="26" t="n">
        <f aca="false">D22*E22</f>
        <v>790000</v>
      </c>
    </row>
    <row r="23" customFormat="false" ht="15.75" hidden="false" customHeight="true" outlineLevel="0" collapsed="false">
      <c r="A23" s="21" t="n">
        <v>43603</v>
      </c>
      <c r="B23" s="22" t="s">
        <v>18</v>
      </c>
      <c r="C23" s="22" t="s">
        <v>9</v>
      </c>
      <c r="D23" s="23" t="n">
        <v>590000</v>
      </c>
      <c r="E23" s="24" t="n">
        <v>2</v>
      </c>
      <c r="F23" s="23" t="n">
        <f aca="false">D23*E23</f>
        <v>1180000</v>
      </c>
    </row>
    <row r="24" customFormat="false" ht="15.75" hidden="false" customHeight="true" outlineLevel="0" collapsed="false">
      <c r="A24" s="16" t="n">
        <v>43604</v>
      </c>
      <c r="B24" s="17" t="s">
        <v>10</v>
      </c>
      <c r="C24" s="17" t="s">
        <v>17</v>
      </c>
      <c r="D24" s="26" t="n">
        <v>375000</v>
      </c>
      <c r="E24" s="19" t="n">
        <v>2</v>
      </c>
      <c r="F24" s="26" t="n">
        <f aca="false">D24*E24</f>
        <v>750000</v>
      </c>
    </row>
    <row r="25" customFormat="false" ht="15.75" hidden="false" customHeight="true" outlineLevel="0" collapsed="false">
      <c r="A25" s="30" t="n">
        <v>43605</v>
      </c>
      <c r="B25" s="22" t="s">
        <v>18</v>
      </c>
      <c r="C25" s="28" t="s">
        <v>9</v>
      </c>
      <c r="D25" s="23" t="n">
        <v>590000</v>
      </c>
      <c r="E25" s="24" t="n">
        <v>1</v>
      </c>
      <c r="F25" s="23" t="n">
        <f aca="false">D25*E25</f>
        <v>590000</v>
      </c>
    </row>
    <row r="26" customFormat="false" ht="15.75" hidden="false" customHeight="true" outlineLevel="0" collapsed="false">
      <c r="A26" s="16" t="n">
        <v>43606</v>
      </c>
      <c r="B26" s="25" t="s">
        <v>15</v>
      </c>
      <c r="C26" s="25" t="s">
        <v>11</v>
      </c>
      <c r="D26" s="18" t="n">
        <v>750000</v>
      </c>
      <c r="E26" s="19" t="n">
        <v>1</v>
      </c>
      <c r="F26" s="18" t="n">
        <f aca="false">D26*E26</f>
        <v>750000</v>
      </c>
    </row>
    <row r="27" customFormat="false" ht="15.75" hidden="false" customHeight="true" outlineLevel="0" collapsed="false">
      <c r="A27" s="21" t="n">
        <v>43607</v>
      </c>
      <c r="B27" s="22" t="s">
        <v>12</v>
      </c>
      <c r="C27" s="22" t="s">
        <v>14</v>
      </c>
      <c r="D27" s="23" t="n">
        <v>460000</v>
      </c>
      <c r="E27" s="24" t="n">
        <v>1</v>
      </c>
      <c r="F27" s="23" t="n">
        <f aca="false">D27*E27</f>
        <v>460000</v>
      </c>
    </row>
    <row r="28" customFormat="false" ht="15.75" hidden="false" customHeight="true" outlineLevel="0" collapsed="false">
      <c r="A28" s="16" t="n">
        <v>43608</v>
      </c>
      <c r="B28" s="17" t="s">
        <v>12</v>
      </c>
      <c r="C28" s="25" t="s">
        <v>14</v>
      </c>
      <c r="D28" s="26" t="n">
        <v>460000</v>
      </c>
      <c r="E28" s="19" t="n">
        <v>3</v>
      </c>
      <c r="F28" s="26" t="n">
        <f aca="false">D28*E28</f>
        <v>1380000</v>
      </c>
    </row>
    <row r="29" customFormat="false" ht="15.75" hidden="false" customHeight="true" outlineLevel="0" collapsed="false">
      <c r="A29" s="21" t="n">
        <v>43609</v>
      </c>
      <c r="B29" s="22" t="s">
        <v>15</v>
      </c>
      <c r="C29" s="22" t="s">
        <v>17</v>
      </c>
      <c r="D29" s="23" t="n">
        <v>375000</v>
      </c>
      <c r="E29" s="24" t="n">
        <v>1</v>
      </c>
      <c r="F29" s="23" t="n">
        <f aca="false">D29*E29</f>
        <v>375000</v>
      </c>
    </row>
    <row r="30" customFormat="false" ht="15.75" hidden="false" customHeight="true" outlineLevel="0" collapsed="false">
      <c r="A30" s="16" t="n">
        <v>43610</v>
      </c>
      <c r="B30" s="17" t="s">
        <v>8</v>
      </c>
      <c r="C30" s="17" t="s">
        <v>16</v>
      </c>
      <c r="D30" s="18" t="n">
        <v>790000</v>
      </c>
      <c r="E30" s="19" t="n">
        <v>2</v>
      </c>
      <c r="F30" s="18" t="n">
        <f aca="false">D30*E30</f>
        <v>1580000</v>
      </c>
    </row>
    <row r="31" customFormat="false" ht="15.75" hidden="false" customHeight="true" outlineLevel="0" collapsed="false">
      <c r="A31" s="21" t="n">
        <v>43611</v>
      </c>
      <c r="B31" s="28" t="s">
        <v>13</v>
      </c>
      <c r="C31" s="22" t="s">
        <v>9</v>
      </c>
      <c r="D31" s="23" t="n">
        <v>590000</v>
      </c>
      <c r="E31" s="24" t="n">
        <v>1</v>
      </c>
      <c r="F31" s="23" t="n">
        <f aca="false">D31*E31</f>
        <v>590000</v>
      </c>
    </row>
    <row r="32" customFormat="false" ht="15.75" hidden="false" customHeight="true" outlineLevel="0" collapsed="false">
      <c r="A32" s="16" t="n">
        <v>43612</v>
      </c>
      <c r="B32" s="17" t="s">
        <v>10</v>
      </c>
      <c r="C32" s="17" t="s">
        <v>17</v>
      </c>
      <c r="D32" s="26" t="n">
        <v>375000</v>
      </c>
      <c r="E32" s="19" t="n">
        <v>2</v>
      </c>
      <c r="F32" s="26" t="n">
        <f aca="false">D32*E32</f>
        <v>750000</v>
      </c>
    </row>
    <row r="33" customFormat="false" ht="15.75" hidden="false" customHeight="true" outlineLevel="0" collapsed="false">
      <c r="A33" s="30" t="n">
        <v>43613</v>
      </c>
      <c r="B33" s="22" t="s">
        <v>8</v>
      </c>
      <c r="C33" s="22" t="s">
        <v>9</v>
      </c>
      <c r="D33" s="23" t="n">
        <v>590000</v>
      </c>
      <c r="E33" s="24" t="n">
        <v>3</v>
      </c>
      <c r="F33" s="23" t="n">
        <f aca="false">D33*E33</f>
        <v>1770000</v>
      </c>
    </row>
    <row r="34" customFormat="false" ht="15.75" hidden="false" customHeight="true" outlineLevel="0" collapsed="false">
      <c r="A34" s="16" t="n">
        <v>43614</v>
      </c>
      <c r="B34" s="17" t="s">
        <v>10</v>
      </c>
      <c r="C34" s="17" t="s">
        <v>11</v>
      </c>
      <c r="D34" s="26" t="n">
        <v>750000</v>
      </c>
      <c r="E34" s="19" t="n">
        <v>1</v>
      </c>
      <c r="F34" s="26" t="n">
        <f aca="false">D34*E34</f>
        <v>750000</v>
      </c>
    </row>
    <row r="35" customFormat="false" ht="15.75" hidden="false" customHeight="true" outlineLevel="0" collapsed="false">
      <c r="A35" s="21" t="n">
        <v>43615</v>
      </c>
      <c r="B35" s="22" t="s">
        <v>18</v>
      </c>
      <c r="C35" s="22" t="s">
        <v>14</v>
      </c>
      <c r="D35" s="23" t="n">
        <v>460000</v>
      </c>
      <c r="E35" s="24" t="n">
        <v>1</v>
      </c>
      <c r="F35" s="23" t="n">
        <f aca="false">D35*E35</f>
        <v>460000</v>
      </c>
    </row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>
      <c r="A38" s="3" t="s">
        <v>47</v>
      </c>
      <c r="B38" s="3"/>
      <c r="C38" s="3"/>
      <c r="D38" s="3"/>
    </row>
    <row r="39" customFormat="false" ht="15.75" hidden="false" customHeight="true" outlineLevel="0" collapsed="false">
      <c r="A39" s="4" t="s">
        <v>25</v>
      </c>
      <c r="B39" s="4" t="s">
        <v>41</v>
      </c>
      <c r="C39" s="4" t="s">
        <v>48</v>
      </c>
      <c r="D39" s="4" t="s">
        <v>49</v>
      </c>
    </row>
    <row r="40" customFormat="false" ht="15.75" hidden="false" customHeight="true" outlineLevel="0" collapsed="false">
      <c r="A40" s="6" t="s">
        <v>8</v>
      </c>
      <c r="B40" s="7" t="n">
        <f aca="false">SUMIF($B$6:$B$35,A40,$F$6:$F$35)</f>
        <v>6940000</v>
      </c>
      <c r="C40" s="39" t="n">
        <f aca="false">SUMIF($B$6:$B$35,A40,$E$6:$E$35)</f>
        <v>12</v>
      </c>
      <c r="D40" s="39" t="n">
        <f aca="false">COUNTIF($B$6:$B$35,A40)</f>
        <v>6</v>
      </c>
    </row>
    <row r="41" customFormat="false" ht="15.75" hidden="false" customHeight="true" outlineLevel="0" collapsed="false">
      <c r="A41" s="11" t="s">
        <v>10</v>
      </c>
      <c r="B41" s="12" t="n">
        <f aca="false">SUMIF($B$6:$B$35,A41,$F$6:$F$35)</f>
        <v>6770000</v>
      </c>
      <c r="C41" s="40" t="n">
        <f aca="false">SUMIF($B$6:$B$35,A41,$E$6:$E$35)</f>
        <v>12</v>
      </c>
      <c r="D41" s="40" t="n">
        <f aca="false">COUNTIF($B$6:$B$35,A41)</f>
        <v>7</v>
      </c>
    </row>
    <row r="42" customFormat="false" ht="15.75" hidden="false" customHeight="true" outlineLevel="0" collapsed="false">
      <c r="A42" s="6" t="s">
        <v>12</v>
      </c>
      <c r="B42" s="7" t="n">
        <f aca="false">SUMIF($B$6:$B$35,A42,$F$6:$F$35)</f>
        <v>4720000</v>
      </c>
      <c r="C42" s="39" t="n">
        <f aca="false">SUMIF($B$6:$B$35,A42,$E$6:$E$35)</f>
        <v>8</v>
      </c>
      <c r="D42" s="39" t="n">
        <f aca="false">COUNTIF($B$6:$B$35,A42)</f>
        <v>5</v>
      </c>
    </row>
    <row r="43" customFormat="false" ht="15.75" hidden="false" customHeight="true" outlineLevel="0" collapsed="false">
      <c r="A43" s="11" t="s">
        <v>13</v>
      </c>
      <c r="B43" s="12" t="n">
        <f aca="false">SUMIF($B$6:$B$35,A43,$F$6:$F$35)</f>
        <v>3280000</v>
      </c>
      <c r="C43" s="40" t="n">
        <f aca="false">SUMIF($B$6:$B$35,A43,$E$6:$E$35)</f>
        <v>6</v>
      </c>
      <c r="D43" s="40" t="n">
        <f aca="false">COUNTIF($B$6:$B$35,A43)</f>
        <v>4</v>
      </c>
    </row>
    <row r="44" customFormat="false" ht="15.75" hidden="false" customHeight="true" outlineLevel="0" collapsed="false">
      <c r="A44" s="6" t="s">
        <v>15</v>
      </c>
      <c r="B44" s="7" t="n">
        <f aca="false">SUMIF($B$6:$B$35,A44,$F$6:$F$35)</f>
        <v>5425000</v>
      </c>
      <c r="C44" s="39" t="n">
        <f aca="false">SUMIF($B$6:$B$35,A44,$E$6:$E$35)</f>
        <v>8</v>
      </c>
      <c r="D44" s="39" t="n">
        <f aca="false">COUNTIF($B$6:$B$35,A44)</f>
        <v>5</v>
      </c>
    </row>
    <row r="45" customFormat="false" ht="15.75" hidden="false" customHeight="true" outlineLevel="0" collapsed="false">
      <c r="A45" s="11" t="s">
        <v>18</v>
      </c>
      <c r="B45" s="12" t="n">
        <f aca="false">SUMIF($B$6:$B$35,A45,$F$6:$F$35)</f>
        <v>2230000</v>
      </c>
      <c r="C45" s="40" t="n">
        <f aca="false">SUMIF($B$6:$B$35,A45,$E$6:$E$35)</f>
        <v>4</v>
      </c>
      <c r="D45" s="40" t="n">
        <f aca="false">COUNTIF($B$6:$B$35,A45)</f>
        <v>3</v>
      </c>
    </row>
    <row r="46" customFormat="false" ht="15.75" hidden="false" customHeight="true" outlineLevel="0" collapsed="false"/>
    <row r="47" customFormat="false" ht="15.75" hidden="false" customHeight="true" outlineLevel="0" collapsed="false">
      <c r="A47" s="41" t="s">
        <v>50</v>
      </c>
      <c r="B47" s="41"/>
      <c r="C47" s="42" t="str">
        <f aca="false">INDEX(A40:A45,MATCH(MAX(B40:B45),B40:B45,0))</f>
        <v>Ahmed</v>
      </c>
      <c r="D47" s="42"/>
    </row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4">
    <mergeCell ref="A4:C4"/>
    <mergeCell ref="A38:D38"/>
    <mergeCell ref="A47:B47"/>
    <mergeCell ref="C47:D47"/>
  </mergeCells>
  <conditionalFormatting sqref="A40:D45">
    <cfRule type="expression" priority="2" aboveAverage="0" equalAverage="0" bottom="0" percent="0" rank="0" text="" dxfId="4">
      <formula>$B40=MAX($B$40:$B$45)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390625" defaultRowHeight="15" customHeight="true" zeroHeight="false" outlineLevelRow="0" outlineLevelCol="0"/>
  <cols>
    <col collapsed="false" customWidth="true" hidden="false" outlineLevel="0" max="1" min="1" style="1" width="11.03"/>
    <col collapsed="false" customWidth="true" hidden="false" outlineLevel="0" max="2" min="2" style="1" width="8.74"/>
    <col collapsed="false" customWidth="true" hidden="false" outlineLevel="0" max="3" min="3" style="1" width="12.23"/>
    <col collapsed="false" customWidth="true" hidden="false" outlineLevel="0" max="4" min="4" style="1" width="11.43"/>
    <col collapsed="false" customWidth="true" hidden="false" outlineLevel="0" max="5" min="5" style="1" width="8.74"/>
    <col collapsed="false" customWidth="true" hidden="false" outlineLevel="0" max="6" min="6" style="1" width="13.18"/>
    <col collapsed="false" customWidth="true" hidden="false" outlineLevel="0" max="9" min="7" style="1" width="8.74"/>
    <col collapsed="false" customWidth="true" hidden="false" outlineLevel="0" max="10" min="10" style="1" width="11.7"/>
    <col collapsed="false" customWidth="true" hidden="false" outlineLevel="0" max="11" min="11" style="1" width="13.59"/>
    <col collapsed="false" customWidth="true" hidden="false" outlineLevel="0" max="26" min="12" style="1" width="8.74"/>
  </cols>
  <sheetData>
    <row r="1" customFormat="false" ht="15" hidden="false" customHeight="true" outlineLevel="0" collapsed="false">
      <c r="A1" s="2" t="s">
        <v>51</v>
      </c>
    </row>
    <row r="3" customFormat="false" ht="15" hidden="false" customHeight="true" outlineLevel="0" collapsed="false">
      <c r="J3" s="43" t="s">
        <v>4</v>
      </c>
      <c r="K3" s="43" t="s">
        <v>52</v>
      </c>
    </row>
    <row r="4" customFormat="false" ht="15" hidden="false" customHeight="true" outlineLevel="0" collapsed="false">
      <c r="A4" s="15" t="s">
        <v>2</v>
      </c>
      <c r="B4" s="15" t="s">
        <v>3</v>
      </c>
      <c r="C4" s="15" t="s">
        <v>4</v>
      </c>
      <c r="D4" s="15" t="s">
        <v>5</v>
      </c>
      <c r="E4" s="15" t="s">
        <v>6</v>
      </c>
      <c r="F4" s="15" t="s">
        <v>7</v>
      </c>
      <c r="J4" s="31" t="s">
        <v>9</v>
      </c>
      <c r="K4" s="31" t="n">
        <v>590000</v>
      </c>
    </row>
    <row r="5" customFormat="false" ht="15" hidden="false" customHeight="true" outlineLevel="0" collapsed="false">
      <c r="A5" s="16" t="n">
        <v>43586</v>
      </c>
      <c r="B5" s="17" t="s">
        <v>8</v>
      </c>
      <c r="C5" s="17" t="s">
        <v>9</v>
      </c>
      <c r="D5" s="44" t="n">
        <f aca="false">INDEX($K$4:$K$9,MATCH(C5,$J$4:$J$9,0))</f>
        <v>590000</v>
      </c>
      <c r="E5" s="19" t="n">
        <v>1</v>
      </c>
      <c r="F5" s="44" t="n">
        <f aca="false">D5*E5</f>
        <v>590000</v>
      </c>
      <c r="J5" s="31" t="s">
        <v>11</v>
      </c>
      <c r="K5" s="31" t="n">
        <v>750000</v>
      </c>
    </row>
    <row r="6" customFormat="false" ht="15" hidden="false" customHeight="true" outlineLevel="0" collapsed="false">
      <c r="A6" s="21" t="n">
        <v>43587</v>
      </c>
      <c r="B6" s="22" t="s">
        <v>10</v>
      </c>
      <c r="C6" s="22" t="s">
        <v>11</v>
      </c>
      <c r="D6" s="44" t="n">
        <f aca="false">INDEX($K$4:$K$9,MATCH(C6,$J$4:$J$9,0))</f>
        <v>750000</v>
      </c>
      <c r="E6" s="24" t="n">
        <v>2</v>
      </c>
      <c r="F6" s="44" t="n">
        <f aca="false">D6*E6</f>
        <v>1500000</v>
      </c>
      <c r="J6" s="31" t="s">
        <v>14</v>
      </c>
      <c r="K6" s="31" t="n">
        <v>460000</v>
      </c>
    </row>
    <row r="7" customFormat="false" ht="15" hidden="false" customHeight="true" outlineLevel="0" collapsed="false">
      <c r="A7" s="16" t="n">
        <v>43588</v>
      </c>
      <c r="B7" s="17" t="s">
        <v>12</v>
      </c>
      <c r="C7" s="17" t="s">
        <v>9</v>
      </c>
      <c r="D7" s="44" t="n">
        <f aca="false">INDEX($K$4:$K$9,MATCH(C7,$J$4:$J$9,0))</f>
        <v>590000</v>
      </c>
      <c r="E7" s="19" t="n">
        <v>1</v>
      </c>
      <c r="F7" s="44" t="n">
        <f aca="false">D7*E7</f>
        <v>590000</v>
      </c>
      <c r="J7" s="31" t="s">
        <v>16</v>
      </c>
      <c r="K7" s="31" t="n">
        <v>790000</v>
      </c>
    </row>
    <row r="8" customFormat="false" ht="15" hidden="false" customHeight="true" outlineLevel="0" collapsed="false">
      <c r="A8" s="21" t="n">
        <v>43589</v>
      </c>
      <c r="B8" s="22" t="s">
        <v>13</v>
      </c>
      <c r="C8" s="22" t="s">
        <v>14</v>
      </c>
      <c r="D8" s="44" t="n">
        <f aca="false">INDEX($K$4:$K$9,MATCH(C8,$J$4:$J$9,0))</f>
        <v>460000</v>
      </c>
      <c r="E8" s="24" t="n">
        <v>1</v>
      </c>
      <c r="F8" s="44" t="n">
        <f aca="false">D8*E8</f>
        <v>460000</v>
      </c>
      <c r="J8" s="31" t="s">
        <v>17</v>
      </c>
      <c r="K8" s="31" t="n">
        <v>375000</v>
      </c>
    </row>
    <row r="9" customFormat="false" ht="15" hidden="false" customHeight="true" outlineLevel="0" collapsed="false">
      <c r="A9" s="16" t="n">
        <v>43590</v>
      </c>
      <c r="B9" s="17" t="s">
        <v>15</v>
      </c>
      <c r="C9" s="25" t="s">
        <v>16</v>
      </c>
      <c r="D9" s="44" t="n">
        <f aca="false">INDEX($K$4:$K$9,MATCH(C9,$J$4:$J$9,0))</f>
        <v>790000</v>
      </c>
      <c r="E9" s="19" t="n">
        <v>3</v>
      </c>
      <c r="F9" s="44" t="n">
        <f aca="false">D9*E9</f>
        <v>2370000</v>
      </c>
      <c r="J9" s="31" t="s">
        <v>53</v>
      </c>
      <c r="K9" s="31" t="n">
        <v>348000</v>
      </c>
    </row>
    <row r="10" customFormat="false" ht="15" hidden="false" customHeight="true" outlineLevel="0" collapsed="false">
      <c r="A10" s="21" t="n">
        <v>43591</v>
      </c>
      <c r="B10" s="22" t="s">
        <v>8</v>
      </c>
      <c r="C10" s="22" t="s">
        <v>17</v>
      </c>
      <c r="D10" s="44" t="n">
        <f aca="false">INDEX($K$4:$K$9,MATCH(C10,$J$4:$J$9,0))</f>
        <v>375000</v>
      </c>
      <c r="E10" s="24" t="n">
        <v>2</v>
      </c>
      <c r="F10" s="44" t="n">
        <f aca="false">D10*E10</f>
        <v>750000</v>
      </c>
    </row>
    <row r="11" customFormat="false" ht="15" hidden="false" customHeight="true" outlineLevel="0" collapsed="false">
      <c r="A11" s="16" t="n">
        <v>43592</v>
      </c>
      <c r="B11" s="17" t="s">
        <v>10</v>
      </c>
      <c r="C11" s="17" t="s">
        <v>9</v>
      </c>
      <c r="D11" s="44" t="n">
        <f aca="false">INDEX($K$4:$K$9,MATCH(C11,$J$4:$J$9,0))</f>
        <v>590000</v>
      </c>
      <c r="E11" s="19" t="n">
        <v>3</v>
      </c>
      <c r="F11" s="44" t="n">
        <f aca="false">D11*E11</f>
        <v>1770000</v>
      </c>
    </row>
    <row r="12" customFormat="false" ht="15" hidden="false" customHeight="true" outlineLevel="0" collapsed="false">
      <c r="A12" s="21" t="n">
        <v>43593</v>
      </c>
      <c r="B12" s="22" t="s">
        <v>8</v>
      </c>
      <c r="C12" s="22" t="s">
        <v>11</v>
      </c>
      <c r="D12" s="44" t="n">
        <f aca="false">INDEX($K$4:$K$9,MATCH(C12,$J$4:$J$9,0))</f>
        <v>750000</v>
      </c>
      <c r="E12" s="24" t="n">
        <v>2</v>
      </c>
      <c r="F12" s="44" t="n">
        <f aca="false">D12*E12</f>
        <v>1500000</v>
      </c>
    </row>
    <row r="13" customFormat="false" ht="15" hidden="false" customHeight="true" outlineLevel="0" collapsed="false">
      <c r="A13" s="27" t="n">
        <v>43594</v>
      </c>
      <c r="B13" s="25" t="s">
        <v>13</v>
      </c>
      <c r="C13" s="17" t="s">
        <v>9</v>
      </c>
      <c r="D13" s="44" t="n">
        <f aca="false">INDEX($K$4:$K$9,MATCH(C13,$J$4:$J$9,0))</f>
        <v>590000</v>
      </c>
      <c r="E13" s="19" t="n">
        <v>3</v>
      </c>
      <c r="F13" s="44" t="n">
        <f aca="false">D13*E13</f>
        <v>1770000</v>
      </c>
    </row>
    <row r="14" customFormat="false" ht="15" hidden="false" customHeight="true" outlineLevel="0" collapsed="false">
      <c r="A14" s="21" t="n">
        <v>43595</v>
      </c>
      <c r="B14" s="22" t="s">
        <v>12</v>
      </c>
      <c r="C14" s="22" t="s">
        <v>11</v>
      </c>
      <c r="D14" s="44" t="n">
        <f aca="false">INDEX($K$4:$K$9,MATCH(C14,$J$4:$J$9,0))</f>
        <v>750000</v>
      </c>
      <c r="E14" s="24" t="n">
        <v>2</v>
      </c>
      <c r="F14" s="44" t="n">
        <f aca="false">D14*E14</f>
        <v>1500000</v>
      </c>
    </row>
    <row r="15" customFormat="false" ht="15" hidden="false" customHeight="true" outlineLevel="0" collapsed="false">
      <c r="A15" s="16" t="n">
        <v>43596</v>
      </c>
      <c r="B15" s="17" t="s">
        <v>10</v>
      </c>
      <c r="C15" s="25" t="s">
        <v>14</v>
      </c>
      <c r="D15" s="44" t="n">
        <f aca="false">INDEX($K$4:$K$9,MATCH(C15,$J$4:$J$9,0))</f>
        <v>460000</v>
      </c>
      <c r="E15" s="19" t="n">
        <v>1</v>
      </c>
      <c r="F15" s="44" t="n">
        <f aca="false">D15*E15</f>
        <v>460000</v>
      </c>
    </row>
    <row r="16" customFormat="false" ht="15" hidden="false" customHeight="true" outlineLevel="0" collapsed="false">
      <c r="A16" s="21" t="n">
        <v>43597</v>
      </c>
      <c r="B16" s="28" t="s">
        <v>13</v>
      </c>
      <c r="C16" s="22" t="s">
        <v>14</v>
      </c>
      <c r="D16" s="44" t="n">
        <f aca="false">INDEX($K$4:$K$9,MATCH(C16,$J$4:$J$9,0))</f>
        <v>460000</v>
      </c>
      <c r="E16" s="29" t="n">
        <v>1</v>
      </c>
      <c r="F16" s="44" t="n">
        <f aca="false">D16*E16</f>
        <v>460000</v>
      </c>
    </row>
    <row r="17" customFormat="false" ht="15" hidden="false" customHeight="true" outlineLevel="0" collapsed="false">
      <c r="A17" s="16" t="n">
        <v>43598</v>
      </c>
      <c r="B17" s="17" t="s">
        <v>15</v>
      </c>
      <c r="C17" s="25" t="s">
        <v>11</v>
      </c>
      <c r="D17" s="44" t="n">
        <f aca="false">INDEX($K$4:$K$9,MATCH(C17,$J$4:$J$9,0))</f>
        <v>750000</v>
      </c>
      <c r="E17" s="19" t="n">
        <v>1</v>
      </c>
      <c r="F17" s="44" t="n">
        <f aca="false">D17*E17</f>
        <v>750000</v>
      </c>
    </row>
    <row r="18" customFormat="false" ht="15" hidden="false" customHeight="true" outlineLevel="0" collapsed="false">
      <c r="A18" s="21" t="n">
        <v>43599</v>
      </c>
      <c r="B18" s="28" t="s">
        <v>15</v>
      </c>
      <c r="C18" s="22" t="s">
        <v>9</v>
      </c>
      <c r="D18" s="44" t="n">
        <f aca="false">INDEX($K$4:$K$9,MATCH(C18,$J$4:$J$9,0))</f>
        <v>590000</v>
      </c>
      <c r="E18" s="29" t="n">
        <v>2</v>
      </c>
      <c r="F18" s="44" t="n">
        <f aca="false">D18*E18</f>
        <v>1180000</v>
      </c>
    </row>
    <row r="19" customFormat="false" ht="15" hidden="false" customHeight="true" outlineLevel="0" collapsed="false">
      <c r="A19" s="27" t="n">
        <v>43600</v>
      </c>
      <c r="B19" s="17" t="s">
        <v>8</v>
      </c>
      <c r="C19" s="17" t="s">
        <v>17</v>
      </c>
      <c r="D19" s="44" t="n">
        <f aca="false">INDEX($K$4:$K$9,MATCH(C19,$J$4:$J$9,0))</f>
        <v>375000</v>
      </c>
      <c r="E19" s="19" t="n">
        <v>2</v>
      </c>
      <c r="F19" s="44" t="n">
        <f aca="false">D19*E19</f>
        <v>750000</v>
      </c>
    </row>
    <row r="20" customFormat="false" ht="15" hidden="false" customHeight="true" outlineLevel="0" collapsed="false">
      <c r="A20" s="21" t="n">
        <v>43601</v>
      </c>
      <c r="B20" s="22" t="s">
        <v>10</v>
      </c>
      <c r="C20" s="22" t="s">
        <v>16</v>
      </c>
      <c r="D20" s="44" t="n">
        <f aca="false">INDEX($K$4:$K$9,MATCH(C20,$J$4:$J$9,0))</f>
        <v>790000</v>
      </c>
      <c r="E20" s="24" t="n">
        <v>1</v>
      </c>
      <c r="F20" s="44" t="n">
        <f aca="false">D20*E20</f>
        <v>790000</v>
      </c>
    </row>
    <row r="21" customFormat="false" ht="15.75" hidden="false" customHeight="true" outlineLevel="0" collapsed="false">
      <c r="A21" s="16" t="n">
        <v>43602</v>
      </c>
      <c r="B21" s="17" t="s">
        <v>12</v>
      </c>
      <c r="C21" s="17" t="s">
        <v>16</v>
      </c>
      <c r="D21" s="44" t="n">
        <f aca="false">INDEX($K$4:$K$9,MATCH(C21,$J$4:$J$9,0))</f>
        <v>790000</v>
      </c>
      <c r="E21" s="19" t="n">
        <v>1</v>
      </c>
      <c r="F21" s="44" t="n">
        <f aca="false">D21*E21</f>
        <v>790000</v>
      </c>
    </row>
    <row r="22" customFormat="false" ht="15.75" hidden="false" customHeight="true" outlineLevel="0" collapsed="false">
      <c r="A22" s="21" t="n">
        <v>43603</v>
      </c>
      <c r="B22" s="22" t="s">
        <v>18</v>
      </c>
      <c r="C22" s="22" t="s">
        <v>9</v>
      </c>
      <c r="D22" s="44" t="n">
        <f aca="false">INDEX($K$4:$K$9,MATCH(C22,$J$4:$J$9,0))</f>
        <v>590000</v>
      </c>
      <c r="E22" s="24" t="n">
        <v>2</v>
      </c>
      <c r="F22" s="44" t="n">
        <f aca="false">D22*E22</f>
        <v>1180000</v>
      </c>
    </row>
    <row r="23" customFormat="false" ht="15.75" hidden="false" customHeight="true" outlineLevel="0" collapsed="false">
      <c r="A23" s="16" t="n">
        <v>43604</v>
      </c>
      <c r="B23" s="17" t="s">
        <v>10</v>
      </c>
      <c r="C23" s="17" t="s">
        <v>17</v>
      </c>
      <c r="D23" s="44" t="n">
        <f aca="false">INDEX($K$4:$K$9,MATCH(C23,$J$4:$J$9,0))</f>
        <v>375000</v>
      </c>
      <c r="E23" s="19" t="n">
        <v>2</v>
      </c>
      <c r="F23" s="44" t="n">
        <f aca="false">D23*E23</f>
        <v>750000</v>
      </c>
    </row>
    <row r="24" customFormat="false" ht="15.75" hidden="false" customHeight="true" outlineLevel="0" collapsed="false">
      <c r="A24" s="30" t="n">
        <v>43605</v>
      </c>
      <c r="B24" s="22" t="s">
        <v>18</v>
      </c>
      <c r="C24" s="28" t="s">
        <v>9</v>
      </c>
      <c r="D24" s="44" t="n">
        <f aca="false">INDEX($K$4:$K$9,MATCH(C24,$J$4:$J$9,0))</f>
        <v>590000</v>
      </c>
      <c r="E24" s="24" t="n">
        <v>1</v>
      </c>
      <c r="F24" s="44" t="n">
        <f aca="false">D24*E24</f>
        <v>590000</v>
      </c>
    </row>
    <row r="25" customFormat="false" ht="15.75" hidden="false" customHeight="true" outlineLevel="0" collapsed="false">
      <c r="A25" s="16" t="n">
        <v>43606</v>
      </c>
      <c r="B25" s="25" t="s">
        <v>15</v>
      </c>
      <c r="C25" s="25" t="s">
        <v>11</v>
      </c>
      <c r="D25" s="44" t="n">
        <f aca="false">INDEX($K$4:$K$9,MATCH(C25,$J$4:$J$9,0))</f>
        <v>750000</v>
      </c>
      <c r="E25" s="19" t="n">
        <v>1</v>
      </c>
      <c r="F25" s="44" t="n">
        <f aca="false">D25*E25</f>
        <v>750000</v>
      </c>
    </row>
    <row r="26" customFormat="false" ht="15.75" hidden="false" customHeight="true" outlineLevel="0" collapsed="false">
      <c r="A26" s="21" t="n">
        <v>43607</v>
      </c>
      <c r="B26" s="22" t="s">
        <v>12</v>
      </c>
      <c r="C26" s="22" t="s">
        <v>14</v>
      </c>
      <c r="D26" s="44" t="n">
        <f aca="false">INDEX($K$4:$K$9,MATCH(C26,$J$4:$J$9,0))</f>
        <v>460000</v>
      </c>
      <c r="E26" s="24" t="n">
        <v>1</v>
      </c>
      <c r="F26" s="44" t="n">
        <f aca="false">D26*E26</f>
        <v>460000</v>
      </c>
    </row>
    <row r="27" customFormat="false" ht="15.75" hidden="false" customHeight="true" outlineLevel="0" collapsed="false">
      <c r="A27" s="16" t="n">
        <v>43608</v>
      </c>
      <c r="B27" s="17" t="s">
        <v>12</v>
      </c>
      <c r="C27" s="25" t="s">
        <v>14</v>
      </c>
      <c r="D27" s="44" t="n">
        <f aca="false">INDEX($K$4:$K$9,MATCH(C27,$J$4:$J$9,0))</f>
        <v>460000</v>
      </c>
      <c r="E27" s="19" t="n">
        <v>3</v>
      </c>
      <c r="F27" s="44" t="n">
        <f aca="false">D27*E27</f>
        <v>1380000</v>
      </c>
    </row>
    <row r="28" customFormat="false" ht="15.75" hidden="false" customHeight="true" outlineLevel="0" collapsed="false">
      <c r="A28" s="21" t="n">
        <v>43609</v>
      </c>
      <c r="B28" s="22" t="s">
        <v>15</v>
      </c>
      <c r="C28" s="22" t="s">
        <v>17</v>
      </c>
      <c r="D28" s="44" t="n">
        <f aca="false">INDEX($K$4:$K$9,MATCH(C28,$J$4:$J$9,0))</f>
        <v>375000</v>
      </c>
      <c r="E28" s="24" t="n">
        <v>1</v>
      </c>
      <c r="F28" s="44" t="n">
        <f aca="false">D28*E28</f>
        <v>375000</v>
      </c>
    </row>
    <row r="29" customFormat="false" ht="15.75" hidden="false" customHeight="true" outlineLevel="0" collapsed="false">
      <c r="A29" s="16" t="n">
        <v>43610</v>
      </c>
      <c r="B29" s="17" t="s">
        <v>8</v>
      </c>
      <c r="C29" s="17" t="s">
        <v>16</v>
      </c>
      <c r="D29" s="44" t="n">
        <f aca="false">INDEX($K$4:$K$9,MATCH(C29,$J$4:$J$9,0))</f>
        <v>790000</v>
      </c>
      <c r="E29" s="19" t="n">
        <v>2</v>
      </c>
      <c r="F29" s="44" t="n">
        <f aca="false">D29*E29</f>
        <v>1580000</v>
      </c>
    </row>
    <row r="30" customFormat="false" ht="15.75" hidden="false" customHeight="true" outlineLevel="0" collapsed="false">
      <c r="A30" s="21" t="n">
        <v>43611</v>
      </c>
      <c r="B30" s="28" t="s">
        <v>13</v>
      </c>
      <c r="C30" s="22" t="s">
        <v>9</v>
      </c>
      <c r="D30" s="44" t="n">
        <f aca="false">INDEX($K$4:$K$9,MATCH(C30,$J$4:$J$9,0))</f>
        <v>590000</v>
      </c>
      <c r="E30" s="24" t="n">
        <v>1</v>
      </c>
      <c r="F30" s="44" t="n">
        <f aca="false">D30*E30</f>
        <v>590000</v>
      </c>
    </row>
    <row r="31" customFormat="false" ht="15.75" hidden="false" customHeight="true" outlineLevel="0" collapsed="false">
      <c r="A31" s="16" t="n">
        <v>43612</v>
      </c>
      <c r="B31" s="17" t="s">
        <v>10</v>
      </c>
      <c r="C31" s="17" t="s">
        <v>17</v>
      </c>
      <c r="D31" s="44" t="n">
        <f aca="false">INDEX($K$4:$K$9,MATCH(C31,$J$4:$J$9,0))</f>
        <v>375000</v>
      </c>
      <c r="E31" s="19" t="n">
        <v>2</v>
      </c>
      <c r="F31" s="44" t="n">
        <f aca="false">D31*E31</f>
        <v>750000</v>
      </c>
    </row>
    <row r="32" customFormat="false" ht="15.75" hidden="false" customHeight="true" outlineLevel="0" collapsed="false">
      <c r="A32" s="30" t="n">
        <v>43613</v>
      </c>
      <c r="B32" s="22" t="s">
        <v>8</v>
      </c>
      <c r="C32" s="22" t="s">
        <v>9</v>
      </c>
      <c r="D32" s="44" t="n">
        <f aca="false">INDEX($K$4:$K$9,MATCH(C32,$J$4:$J$9,0))</f>
        <v>590000</v>
      </c>
      <c r="E32" s="24" t="n">
        <v>3</v>
      </c>
      <c r="F32" s="44" t="n">
        <f aca="false">D32*E32</f>
        <v>1770000</v>
      </c>
    </row>
    <row r="33" customFormat="false" ht="15.75" hidden="false" customHeight="true" outlineLevel="0" collapsed="false">
      <c r="A33" s="16" t="n">
        <v>43614</v>
      </c>
      <c r="B33" s="17" t="s">
        <v>10</v>
      </c>
      <c r="C33" s="17" t="s">
        <v>11</v>
      </c>
      <c r="D33" s="44" t="n">
        <f aca="false">INDEX($K$4:$K$9,MATCH(C33,$J$4:$J$9,0))</f>
        <v>750000</v>
      </c>
      <c r="E33" s="19" t="n">
        <v>1</v>
      </c>
      <c r="F33" s="44" t="n">
        <f aca="false">D33*E33</f>
        <v>750000</v>
      </c>
    </row>
    <row r="34" customFormat="false" ht="15.75" hidden="false" customHeight="true" outlineLevel="0" collapsed="false">
      <c r="A34" s="21" t="n">
        <v>43615</v>
      </c>
      <c r="B34" s="22" t="s">
        <v>18</v>
      </c>
      <c r="C34" s="22" t="s">
        <v>14</v>
      </c>
      <c r="D34" s="44" t="n">
        <f aca="false">INDEX($K$4:$K$9,MATCH(C34,$J$4:$J$9,0))</f>
        <v>460000</v>
      </c>
      <c r="E34" s="24" t="n">
        <v>1</v>
      </c>
      <c r="F34" s="44" t="n">
        <f aca="false">D34*E34</f>
        <v>460000</v>
      </c>
    </row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390625" defaultRowHeight="15" customHeight="true" zeroHeight="false" outlineLevelRow="0" outlineLevelCol="0"/>
  <cols>
    <col collapsed="false" customWidth="true" hidden="false" outlineLevel="0" max="2" min="1" style="1" width="14"/>
    <col collapsed="false" customWidth="true" hidden="false" outlineLevel="0" max="3" min="3" style="1" width="10"/>
    <col collapsed="false" customWidth="true" hidden="false" outlineLevel="0" max="4" min="4" style="1" width="14"/>
    <col collapsed="false" customWidth="true" hidden="false" outlineLevel="0" max="5" min="5" style="1" width="10.35"/>
    <col collapsed="false" customWidth="true" hidden="false" outlineLevel="0" max="6" min="6" style="1" width="42"/>
    <col collapsed="false" customWidth="true" hidden="false" outlineLevel="0" max="7" min="7" style="1" width="8.74"/>
    <col collapsed="false" customWidth="true" hidden="false" outlineLevel="0" max="8" min="8" style="1" width="11.7"/>
    <col collapsed="false" customWidth="true" hidden="false" outlineLevel="0" max="9" min="9" style="1" width="13.59"/>
    <col collapsed="false" customWidth="true" hidden="false" outlineLevel="0" max="26" min="10" style="1" width="8.74"/>
  </cols>
  <sheetData>
    <row r="1" customFormat="false" ht="15" hidden="false" customHeight="true" outlineLevel="0" collapsed="false">
      <c r="A1" s="2" t="s">
        <v>54</v>
      </c>
    </row>
    <row r="3" customFormat="false" ht="15" hidden="false" customHeight="true" outlineLevel="0" collapsed="false">
      <c r="H3" s="43" t="s">
        <v>4</v>
      </c>
      <c r="I3" s="43" t="s">
        <v>52</v>
      </c>
    </row>
    <row r="4" customFormat="false" ht="15" hidden="false" customHeight="true" outlineLevel="0" collapsed="false">
      <c r="A4" s="45" t="s">
        <v>4</v>
      </c>
      <c r="B4" s="46" t="s">
        <v>5</v>
      </c>
      <c r="C4" s="46" t="s">
        <v>6</v>
      </c>
      <c r="D4" s="47" t="s">
        <v>7</v>
      </c>
      <c r="F4" s="48" t="s">
        <v>55</v>
      </c>
      <c r="H4" s="31" t="s">
        <v>9</v>
      </c>
      <c r="I4" s="31" t="n">
        <v>590000</v>
      </c>
    </row>
    <row r="5" customFormat="false" ht="15" hidden="false" customHeight="true" outlineLevel="0" collapsed="false">
      <c r="A5" s="6" t="s">
        <v>9</v>
      </c>
      <c r="B5" s="7" t="n">
        <f aca="false">INDEX($I$4:$I$9,MATCH(A5,$H$4:$H$9,0))</f>
        <v>590000</v>
      </c>
      <c r="C5" s="39" t="n">
        <v>2</v>
      </c>
      <c r="D5" s="7" t="n">
        <f aca="false">B5*C5</f>
        <v>1180000</v>
      </c>
      <c r="H5" s="31" t="s">
        <v>11</v>
      </c>
      <c r="I5" s="31" t="n">
        <v>750000</v>
      </c>
    </row>
    <row r="6" customFormat="false" ht="15" hidden="false" customHeight="true" outlineLevel="0" collapsed="false">
      <c r="A6" s="6" t="s">
        <v>16</v>
      </c>
      <c r="B6" s="7" t="n">
        <f aca="false">INDEX($I$4:$I$9,MATCH(A6,$H$4:$H$9,0))</f>
        <v>790000</v>
      </c>
      <c r="C6" s="39" t="n">
        <v>1</v>
      </c>
      <c r="D6" s="7" t="n">
        <f aca="false">B6*C6</f>
        <v>790000</v>
      </c>
      <c r="H6" s="31" t="s">
        <v>14</v>
      </c>
      <c r="I6" s="31" t="n">
        <v>460000</v>
      </c>
    </row>
    <row r="7" customFormat="false" ht="15" hidden="false" customHeight="true" outlineLevel="0" collapsed="false">
      <c r="A7" s="6" t="s">
        <v>17</v>
      </c>
      <c r="B7" s="7" t="n">
        <f aca="false">INDEX($I$4:$I$9,MATCH(A7,$H$4:$H$9,0))</f>
        <v>375000</v>
      </c>
      <c r="C7" s="39" t="n">
        <v>3</v>
      </c>
      <c r="D7" s="7" t="n">
        <f aca="false">B7*C7</f>
        <v>1125000</v>
      </c>
      <c r="H7" s="31" t="s">
        <v>16</v>
      </c>
      <c r="I7" s="31" t="n">
        <v>790000</v>
      </c>
    </row>
    <row r="8" customFormat="false" ht="15" hidden="false" customHeight="true" outlineLevel="0" collapsed="false">
      <c r="A8" s="6" t="s">
        <v>11</v>
      </c>
      <c r="B8" s="7" t="n">
        <f aca="false">INDEX($I$4:$I$9,MATCH(A8,$H$4:$H$9,0))</f>
        <v>750000</v>
      </c>
      <c r="C8" s="39" t="n">
        <v>1</v>
      </c>
      <c r="D8" s="7" t="n">
        <f aca="false">B8*C8</f>
        <v>750000</v>
      </c>
      <c r="H8" s="31" t="s">
        <v>17</v>
      </c>
      <c r="I8" s="31" t="n">
        <v>375000</v>
      </c>
    </row>
    <row r="9" customFormat="false" ht="15" hidden="false" customHeight="true" outlineLevel="0" collapsed="false">
      <c r="A9" s="49"/>
      <c r="B9" s="19"/>
      <c r="C9" s="19"/>
      <c r="D9" s="50"/>
      <c r="H9" s="31" t="s">
        <v>53</v>
      </c>
      <c r="I9" s="31" t="n">
        <v>348000</v>
      </c>
    </row>
    <row r="10" customFormat="false" ht="15" hidden="false" customHeight="true" outlineLevel="0" collapsed="false">
      <c r="A10" s="49"/>
      <c r="B10" s="19"/>
      <c r="C10" s="19"/>
      <c r="D10" s="50"/>
    </row>
    <row r="11" customFormat="false" ht="15" hidden="false" customHeight="true" outlineLevel="0" collapsed="false">
      <c r="A11" s="49"/>
      <c r="B11" s="19"/>
      <c r="C11" s="19"/>
      <c r="D11" s="50"/>
    </row>
    <row r="12" customFormat="false" ht="15" hidden="false" customHeight="true" outlineLevel="0" collapsed="false">
      <c r="A12" s="49"/>
      <c r="B12" s="19"/>
      <c r="C12" s="19"/>
      <c r="D12" s="50"/>
    </row>
    <row r="13" customFormat="false" ht="15" hidden="false" customHeight="true" outlineLevel="0" collapsed="false">
      <c r="A13" s="49"/>
      <c r="B13" s="19"/>
      <c r="C13" s="19"/>
      <c r="D13" s="50"/>
    </row>
    <row r="14" customFormat="false" ht="15" hidden="false" customHeight="true" outlineLevel="0" collapsed="false">
      <c r="A14" s="49"/>
      <c r="B14" s="19"/>
      <c r="C14" s="19"/>
      <c r="D14" s="50"/>
    </row>
    <row r="15" customFormat="false" ht="15" hidden="false" customHeight="true" outlineLevel="0" collapsed="false">
      <c r="A15" s="49"/>
      <c r="B15" s="19"/>
      <c r="C15" s="19"/>
      <c r="D15" s="50"/>
    </row>
    <row r="16" customFormat="false" ht="15" hidden="false" customHeight="true" outlineLevel="0" collapsed="false">
      <c r="A16" s="4" t="s">
        <v>56</v>
      </c>
      <c r="B16" s="4"/>
      <c r="C16" s="4"/>
      <c r="D16" s="51" t="n">
        <f aca="false">SUM(D5:D15)</f>
        <v>3845000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">
    <mergeCell ref="A16:C1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2024-07-26T20:53:48Z</dcterms:created>
  <dc:creator>HP</dc:creator>
  <dc:description/>
  <dc:language>en-GB</dc:language>
  <cp:lastModifiedBy/>
  <dcterms:modified xsi:type="dcterms:W3CDTF">2026-09-16T00:34:25Z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